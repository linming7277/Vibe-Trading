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2ef61011a94a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出说明" sheetId="1" r:id="Rf34f63e0c2f847b8"/>
    <x:sheet xmlns:r="http://schemas.openxmlformats.org/officeDocument/2006/relationships" name="低估龙头" sheetId="2" r:id="Rd1496a87a203472f"/>
    <x:sheet xmlns:r="http://schemas.openxmlformats.org/officeDocument/2006/relationships" name="技术审计" sheetId="3" r:id="R0d2d596f411841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"/>
    <x:numFmt numFmtId="202" formatCode="0.0%"/>
    <x:numFmt numFmtId="203" formatCode="0.00"/>
    <x:numFmt numFmtId="204" formatCode="#,##0.00"/>
  </x:numFmts>
  <x:fonts count="11">
    <x:font>
      <x:sz val="11"/>
      <x:name val="Carlito"/>
    </x:font>
    <x:font>
      <x:b/>
      <x:sz val="16"/>
      <x:color rgb="FFFFFFFF"/>
      <x:name val="Carlito"/>
    </x:font>
    <x:font>
      <x:sz val="11"/>
      <x:color rgb="FF35546F"/>
      <x:name val="Carlito"/>
    </x:font>
    <x:font>
      <x:b/>
      <x:sz val="11"/>
      <x:color rgb="FFFFFFFF"/>
      <x:name val="Carlito"/>
    </x:font>
    <x:font>
      <x:b/>
      <x:sz val="11"/>
      <x:color rgb="FF12355B"/>
      <x:name val="Carlito"/>
    </x:font>
    <x:font>
      <x:sz val="11"/>
      <x:color rgb="FF7A4A00"/>
      <x:name val="Carlito"/>
    </x:font>
    <x:font>
      <x:i/>
      <x:sz val="10"/>
      <x:color rgb="FF586875"/>
      <x:name val="Carlito"/>
    </x:font>
    <x:font>
      <x:sz val="11"/>
      <x:color rgb="FF234A6B"/>
      <x:name val="JetBrains Mono"/>
    </x:font>
    <x:font>
      <x:b/>
      <x:sz val="14"/>
      <x:color rgb="FFFFFFFF"/>
      <x:name val="Carlito"/>
    </x:font>
    <x:font>
      <x:sz val="11"/>
      <x:color rgb="FF4B5563"/>
      <x:name val="Carlito"/>
    </x:font>
    <x:font>
      <x:sz val="11"/>
      <x:color rgb="FF334155"/>
      <x:name val="JetBrains Mono"/>
    </x:font>
  </x:fonts>
  <x:fills count="11">
    <x:fill>
      <x:patternFill patternType="none"/>
    </x:fill>
    <x:fill>
      <x:patternFill patternType="gray125"/>
    </x:fill>
    <x:fill>
      <x:patternFill patternType="solid">
        <x:fgColor rgb="FF12355B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F2F8FC"/>
      </x:patternFill>
    </x:fill>
    <x:fill>
      <x:patternFill patternType="solid">
        <x:fgColor rgb="FFFFF7E6"/>
      </x:patternFill>
    </x:fill>
    <x:fill>
      <x:patternFill patternType="solid">
        <x:fgColor rgb="FFF5F7F9"/>
      </x:patternFill>
    </x:fill>
    <x:fill>
      <x:patternFill patternType="solid">
        <x:fgColor rgb="FF4B5563"/>
      </x:patternFill>
    </x:fill>
    <x:fill>
      <x:patternFill patternType="solid">
        <x:fgColor rgb="FFF3F4F6"/>
      </x:patternFill>
    </x:fill>
    <x:fill>
      <x:patternFill patternType="solid">
        <x:fgColor rgb="FF64748B"/>
      </x:patternFill>
    </x:fill>
  </x:fills>
  <x:borders count="11">
    <x:border/>
    <x:border>
      <x:left style="thin">
        <x:color rgb="FFC9D6E2"/>
      </x:left>
      <x:right style="thin">
        <x:color rgb="FFC9D6E2"/>
      </x:right>
      <x:top style="thin">
        <x:color rgb="FFC9D6E2"/>
      </x:top>
      <x:bottom style="thin">
        <x:color rgb="FFC9D6E2"/>
      </x:bottom>
    </x:border>
    <x:border>
      <x:left style="thin">
        <x:color rgb="FFE8C57A"/>
      </x:left>
      <x:top style="thin">
        <x:color rgb="FFE8C57A"/>
      </x:top>
    </x:border>
    <x:border>
      <x:top style="thin">
        <x:color rgb="FFE8C57A"/>
      </x:top>
    </x:border>
    <x:border>
      <x:right style="thin">
        <x:color rgb="FFE8C57A"/>
      </x:right>
      <x:top style="thin">
        <x:color rgb="FFE8C57A"/>
      </x:top>
    </x:border>
    <x:border>
      <x:left style="thin">
        <x:color rgb="FFE8C57A"/>
      </x:left>
    </x:border>
    <x:border>
      <x:right style="thin">
        <x:color rgb="FFE8C57A"/>
      </x:right>
    </x:border>
    <x:border>
      <x:left style="thin">
        <x:color rgb="FFE8C57A"/>
      </x:left>
      <x:bottom style="thin">
        <x:color rgb="FFE8C57A"/>
      </x:bottom>
    </x:border>
    <x:border>
      <x:bottom style="thin">
        <x:color rgb="FFE8C57A"/>
      </x:bottom>
    </x:border>
    <x:border>
      <x:right style="thin">
        <x:color rgb="FFE8C57A"/>
      </x:right>
      <x:bottom style="thin">
        <x:color rgb="FFE8C57A"/>
      </x:bottom>
    </x:border>
    <x:border>
      <x:left style="thin">
        <x:color rgb="FF9CB6CC"/>
      </x:left>
      <x:right style="thin">
        <x:color rgb="FF9CB6CC"/>
      </x:right>
      <x:top style="thin">
        <x:color rgb="FF9CB6CC"/>
      </x:top>
      <x:bottom style="thin">
        <x:color rgb="FF9CB6CC"/>
      </x:bottom>
    </x:border>
  </x:borders>
  <x:cellStyleXfs count="1">
    <x:xf numFmtId="0" fontId="0" fillId="0" borderId="0"/>
  </x:cellStyleXfs>
  <x:cellXfs count="8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4" fillId="5" borderId="1" xfId="0" applyNumberFormat="1" applyFont="1" applyFill="1" applyBorder="1"/>
    <x:xf numFmtId="200" fontId="4" fillId="5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4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7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wrapText="1"/>
    </x:xf>
    <x:xf numFmtId="0" fontId="5" fillId="6" borderId="8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1"/>
    </x:xf>
    <x:xf numFmtId="0" fontId="5" fillId="6" borderId="4" xfId="0" applyNumberFormat="1" applyFont="1" applyFill="1" applyBorder="1" applyAlignment="1">
      <x:alignment vertical="top" wrapText="1"/>
    </x:xf>
    <x:xf numFmtId="0" fontId="5" fillId="6" borderId="5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6" xfId="0" applyNumberFormat="1" applyFont="1" applyFill="1" applyBorder="1" applyAlignment="1">
      <x:alignment vertical="top" wrapText="1"/>
    </x:xf>
    <x:xf numFmtId="0" fontId="5" fillId="6" borderId="7" xfId="0" applyNumberFormat="1" applyFont="1" applyFill="1" applyBorder="1" applyAlignment="1">
      <x:alignment vertical="top" wrapText="1"/>
    </x:xf>
    <x:xf numFmtId="0" fontId="5" fillId="6" borderId="8" xfId="0" applyNumberFormat="1" applyFont="1" applyFill="1" applyBorder="1" applyAlignment="1">
      <x:alignment vertical="top" wrapText="1"/>
    </x:xf>
    <x:xf numFmtId="0" fontId="5" fillId="6" borderId="9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top" wrapText="1"/>
    </x:xf>
    <x:xf numFmtId="0" fontId="3" fillId="4" borderId="10" xfId="0" applyNumberFormat="1" applyFont="1" applyFill="1" applyBorder="1"/>
    <x:xf numFmtId="0" fontId="3" fillId="4" borderId="10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horizontal="center"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horizontal="right" vertical="center" wrapText="1"/>
    </x:xf>
    <x:xf numFmtId="202" fontId="0" fillId="0" borderId="0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203" fontId="0" fillId="0" borderId="0" xfId="0" applyNumberFormat="1" applyFont="1" applyFill="1" applyBorder="1" applyAlignment="1">
      <x:alignment horizontal="right" vertical="center" wrapText="1"/>
    </x:xf>
    <x:xf numFmtId="204" fontId="0" fillId="0" borderId="0" xfId="0" applyNumberFormat="1" applyFont="1" applyFill="1" applyBorder="1" applyAlignment="1">
      <x:alignment horizontal="right"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46C43"/>
      </x:font>
      <x:fill>
        <x:patternFill patternType="solid">
          <x:bgColor rgb="FFE7F4EA"/>
        </x:patternFill>
      </x:fill>
    </x:dxf>
    <x:dxf>
      <x:font>
        <x:b/>
        <x:color rgb="FF7A4A00"/>
      </x:font>
      <x:fill>
        <x:patternFill patternType="solid"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4e020b57284d99" /><Relationship Type="http://schemas.openxmlformats.org/officeDocument/2006/relationships/theme" Target="/xl/theme/theme1.xml" Id="Rb1bf0e5dfed94429" /><Relationship Type="http://schemas.openxmlformats.org/officeDocument/2006/relationships/sharedStrings" Target="/xl/sharedStrings.xml" Id="R03bda6a9de194d48" /><Relationship Type="http://schemas.openxmlformats.org/officeDocument/2006/relationships/worksheet" Target="/xl/worksheets/sheet1.xml" Id="Rf34f63e0c2f847b8" /><Relationship Type="http://schemas.openxmlformats.org/officeDocument/2006/relationships/worksheet" Target="/xl/worksheets/sheet2.xml" Id="Rd1496a87a203472f" /><Relationship Type="http://schemas.openxmlformats.org/officeDocument/2006/relationships/worksheet" Target="/xl/worksheets/sheet3.xml" Id="R0d2d596f411841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0" customHeight="1">
      <x:c r="A1" s="4" t="str">
        <x:v>行业龙头 · 历史低估名单</x:v>
      </x:c>
      <x:c r="B1" s="4"/>
      <x:c r="C1" s="4"/>
      <x:c r="D1" s="4"/>
      <x:c r="E1" s="4"/>
      <x:c r="F1" s="4"/>
    </x:row>
    <x:row r="2">
      <x:c r="A2" s="7" t="str">
        <x:v>龙头快照日期：2026-08-24 ｜ 筛选口径：公司自身历史 PE / PB / 股息率位置</x:v>
      </x:c>
      <x:c r="B2" s="7"/>
      <x:c r="C2" s="7"/>
      <x:c r="D2" s="7"/>
      <x:c r="E2" s="7"/>
      <x:c r="F2" s="7"/>
    </x:row>
    <x:row r="4">
      <x:c r="A4" s="11" t="str">
        <x:v>指标</x:v>
      </x:c>
      <x:c r="B4" s="11" t="str">
        <x:v>数量</x:v>
      </x:c>
    </x:row>
    <x:row r="5">
      <x:c r="A5" s="12" t="str">
        <x:v>导出公司数</x:v>
      </x:c>
      <x:c r="B5" s="16" t="n">
        <x:f>COUNTA('低估龙头'!$B$5:$B$301)</x:f>
        <x:v>297</x:v>
      </x:c>
    </x:row>
    <x:row r="6">
      <x:c r="A6" s="12" t="str">
        <x:v>其中：历史深度低估</x:v>
      </x:c>
      <x:c r="B6" s="16" t="n">
        <x:f>COUNTIF('低估龙头'!$A$5:$A$301,"历史深度低估")</x:f>
        <x:v>114</x:v>
      </x:c>
    </x:row>
    <x:row r="7">
      <x:c r="A7" s="12" t="str">
        <x:v>其中：历史低估关注</x:v>
      </x:c>
      <x:c r="B7" s="16" t="n">
        <x:f>COUNTIF('低估龙头'!$A$5:$A$301,"历史低估关注")</x:f>
        <x:v>183</x:v>
      </x:c>
    </x:row>
    <x:row r="9">
      <x:c r="A9" s="36" t="str">
        <x:v>使用说明：本名单只代表“公司自身历史估值位置”较低，适合进入进一步研究清单；它不等同于当前价格低于合理价值区间，也不构成买入建议。请结合财报、行业景气、公司逻辑、风险和价格位置复核。</x:v>
      </x:c>
      <x:c r="B9" s="37"/>
      <x:c r="C9" s="37"/>
      <x:c r="D9" s="37"/>
      <x:c r="E9" s="37"/>
      <x:c r="F9" s="38"/>
    </x:row>
    <x:row r="10">
      <x:c r="A10" s="39"/>
      <x:c r="B10" s="40"/>
      <x:c r="C10" s="40"/>
      <x:c r="D10" s="40"/>
      <x:c r="E10" s="40"/>
      <x:c r="F10" s="41"/>
    </x:row>
    <x:row r="11">
      <x:c r="A11" s="42"/>
      <x:c r="B11" s="43"/>
      <x:c r="C11" s="43"/>
      <x:c r="D11" s="43"/>
      <x:c r="E11" s="43"/>
      <x:c r="F11" s="44"/>
    </x:row>
    <x:row r="13">
      <x:c r="A13" s="48" t="str">
        <x:v>数据来源：本机通达信历史估值缓存（历史市盈率、市净率、股息率）与价值线三级行业龙头快照。历史估值数据不足的公司未纳入本名单；龙头评分仅用于同三级行业内部排序。技术代码与原始状态已单独放入“技术审计”工作表。</x:v>
      </x:c>
      <x:c r="B13" s="48"/>
      <x:c r="C13" s="48"/>
      <x:c r="D13" s="48"/>
      <x:c r="E13" s="48"/>
      <x:c r="F13" s="48"/>
    </x:row>
    <x:row r="14">
      <x:c r="A14" s="48"/>
      <x:c r="B14" s="48"/>
      <x:c r="C14" s="48"/>
      <x:c r="D14" s="48"/>
      <x:c r="E14" s="48"/>
      <x:c r="F14" s="48"/>
    </x:row>
  </x:sheetData>
  <x:mergeCells>
    <x:mergeCell ref="A1:F1"/>
    <x:mergeCell ref="A2:F2"/>
    <x:mergeCell ref="A9:F11"/>
    <x:mergeCell ref="A13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6" hidden="0" customWidth="1"/>
    <x:col min="4" max="4" width="14" hidden="0" customWidth="1"/>
    <x:col min="5" max="5" width="16" hidden="0" customWidth="1"/>
    <x:col min="6" max="6" width="22" hidden="0" customWidth="1"/>
    <x:col min="7" max="7" width="12" hidden="0" customWidth="1"/>
    <x:col min="8" max="8" width="12" hidden="0" customWidth="1"/>
    <x:col min="9" max="9" width="13" hidden="0" customWidth="1"/>
    <x:col min="10" max="10" width="18" hidden="0" customWidth="1"/>
    <x:col min="11" max="11" width="16" hidden="0" customWidth="1"/>
    <x:col min="12" max="12" width="15" hidden="0" customWidth="1"/>
    <x:col min="13" max="13" width="15" hidden="0" customWidth="1"/>
    <x:col min="14" max="14" width="12" hidden="0" customWidth="1"/>
    <x:col min="15" max="15" width="13" hidden="0" customWidth="1"/>
    <x:col min="16" max="16" width="13" hidden="0" customWidth="1"/>
    <x:col min="17" max="17" width="11" hidden="0" customWidth="1"/>
    <x:col min="18" max="18" width="13" hidden="0" customWidth="1"/>
    <x:col min="19" max="19" width="10" hidden="0" customWidth="1"/>
    <x:col min="20" max="20" width="15" hidden="0" customWidth="1"/>
    <x:col min="21" max="21" width="15" hidden="0" customWidth="1"/>
    <x:col min="22" max="22" width="14" hidden="0" customWidth="1"/>
    <x:col min="23" max="23" width="15" hidden="0" customWidth="1"/>
    <x:col min="24" max="24" width="15" hidden="0" customWidth="1"/>
    <x:col min="25" max="25" width="13" hidden="0" customWidth="1"/>
    <x:col min="26" max="26" width="11" hidden="0" customWidth="1"/>
    <x:col min="27" max="27" width="11" hidden="0" customWidth="1"/>
    <x:col min="28" max="28" width="13" hidden="0" customWidth="1"/>
    <x:col min="29" max="29" width="11" hidden="0" customWidth="1"/>
    <x:col min="30" max="30" width="22" hidden="0" customWidth="1"/>
    <x:col min="31" max="31" width="22" hidden="0" customWidth="1"/>
  </x:cols>
  <x:sheetData>
    <x:row r="1" ht="30" customHeight="1">
      <x:c r="A1" s="4" t="str">
        <x:v>行业龙头 · 历史低估名单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</x:row>
    <x:row r="2">
      <x:c r="A2" s="7" t="str">
        <x:v>共 297 家 ｜ 快照日期 2026-08-24 ｜ 历史低估 + 龙头质量 + 核心财务事实；不等同于买入建议或目标价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</x:row>
    <x:row r="4" ht="39.599998474121094" hidden="0" customHeight="1">
      <x:c r="A4" s="52" t="str">
        <x:v>筛选分类</x:v>
      </x:c>
      <x:c r="B4" s="52" t="str">
        <x:v>股票代码</x:v>
      </x:c>
      <x:c r="C4" s="52" t="str">
        <x:v>公司名称</x:v>
      </x:c>
      <x:c r="D4" s="52" t="str">
        <x:v>一级行业</x:v>
      </x:c>
      <x:c r="E4" s="52" t="str">
        <x:v>二级行业</x:v>
      </x:c>
      <x:c r="F4" s="52" t="str">
        <x:v>三级/末级行业</x:v>
      </x:c>
      <x:c r="G4" s="52" t="str">
        <x:v>行业内排名</x:v>
      </x:c>
      <x:c r="H4" s="52" t="str">
        <x:v>龙头评分</x:v>
      </x:c>
      <x:c r="I4" s="52" t="str">
        <x:v>评分覆盖率</x:v>
      </x:c>
      <x:c r="J4" s="52" t="str">
        <x:v>历史估值判断</x:v>
      </x:c>
      <x:c r="K4" s="52" t="str">
        <x:v>历史资料完整度</x:v>
      </x:c>
      <x:c r="L4" s="52" t="str">
        <x:v>估值数据截至</x:v>
      </x:c>
      <x:c r="M4" s="52" t="str">
        <x:v>龙头快照日期</x:v>
      </x:c>
      <x:c r="N4" s="52" t="str">
        <x:v>当前价</x:v>
      </x:c>
      <x:c r="O4" s="52" t="str">
        <x:v>市盈率（滚动十二个月）</x:v>
      </x:c>
      <x:c r="P4" s="52" t="str">
        <x:v>市盈率便宜分位</x:v>
      </x:c>
      <x:c r="Q4" s="52" t="str">
        <x:v>市净率</x:v>
      </x:c>
      <x:c r="R4" s="52" t="str">
        <x:v>市净率便宜分位</x:v>
      </x:c>
      <x:c r="S4" s="52" t="str">
        <x:v>股息率</x:v>
      </x:c>
      <x:c r="T4" s="52" t="str">
        <x:v>股息率便宜分位</x:v>
      </x:c>
      <x:c r="U4" s="52" t="str">
        <x:v>历史综合便宜分位</x:v>
      </x:c>
      <x:c r="V4" s="52" t="str">
        <x:v>总市值（亿元）</x:v>
      </x:c>
      <x:c r="W4" s="52" t="str">
        <x:v>最新营收（亿元）</x:v>
      </x:c>
      <x:c r="X4" s="52" t="str">
        <x:v>最新净利（亿元）</x:v>
      </x:c>
      <x:c r="Y4" s="52" t="str">
        <x:v>净资产收益率</x:v>
      </x:c>
      <x:c r="Z4" s="52" t="str">
        <x:v>毛利率</x:v>
      </x:c>
      <x:c r="AA4" s="52" t="str">
        <x:v>净利率</x:v>
      </x:c>
      <x:c r="AB4" s="52" t="str">
        <x:v>现金转换率</x:v>
      </x:c>
      <x:c r="AC4" s="52" t="str">
        <x:v>负债率</x:v>
      </x:c>
      <x:c r="AD4" s="52" t="str">
        <x:v>相对强项（分）</x:v>
      </x:c>
      <x:c r="AE4" s="52" t="str">
        <x:v>优先复核项（分）</x:v>
      </x:c>
    </x:row>
    <x:row r="5" ht="52.79999923706055" hidden="0" customHeight="1">
      <x:c r="A5" s="60" t="str">
        <x:v>历史深度低估</x:v>
      </x:c>
      <x:c r="B5" s="66" t="str">
        <x:v>600970.SH</x:v>
      </x:c>
      <x:c r="C5" s="60" t="str">
        <x:v>中材国际</x:v>
      </x:c>
      <x:c r="D5" s="60" t="str">
        <x:v>建筑</x:v>
      </x:c>
      <x:c r="E5" s="60" t="str">
        <x:v>专业工程</x:v>
      </x:c>
      <x:c r="F5" s="60" t="str">
        <x:v>国际工程</x:v>
      </x:c>
      <x:c r="G5" s="61" t="n">
        <x:v>1</x:v>
      </x:c>
      <x:c r="H5" s="67" t="n">
        <x:v>90.3333</x:v>
      </x:c>
      <x:c r="I5" s="68" t="n">
        <x:v>1</x:v>
      </x:c>
      <x:c r="J5" s="69" t="str">
        <x:v>历史极低位</x:v>
      </x:c>
      <x:c r="K5" s="69" t="str">
        <x:v>完整</x:v>
      </x:c>
      <x:c r="L5" s="69" t="str">
        <x:v>2026-08-19</x:v>
      </x:c>
      <x:c r="M5" s="69" t="str">
        <x:v>2026-08-24</x:v>
      </x:c>
      <x:c r="N5" s="70" t="n">
        <x:v>7.68</x:v>
      </x:c>
      <x:c r="O5" s="70" t="n">
        <x:v>7.5876</x:v>
      </x:c>
      <x:c r="P5" s="68" t="n">
        <x:v>0.0262</x:v>
      </x:c>
      <x:c r="Q5" s="70" t="n">
        <x:v>0.8606</x:v>
      </x:c>
      <x:c r="R5" s="68" t="n">
        <x:v>0.0159</x:v>
      </x:c>
      <x:c r="S5" s="68" t="n">
        <x:v>0.0625</x:v>
      </x:c>
      <x:c r="T5" s="68" t="n">
        <x:v>0.0169</x:v>
      </x:c>
      <x:c r="U5" s="68" t="n">
        <x:v>0.0197</x:v>
      </x:c>
      <x:c r="V5" s="71" t="n">
        <x:v>205.03</x:v>
      </x:c>
      <x:c r="W5" s="71" t="n">
        <x:v>166.00875008</x:v>
      </x:c>
      <x:c r="X5" s="71" t="n">
        <x:v>7.88378496</x:v>
      </x:c>
      <x:c r="Y5" s="68" t="n">
        <x:v>0.131</x:v>
      </x:c>
      <x:c r="Z5" s="68" t="n">
        <x:v>0.185</x:v>
      </x:c>
      <x:c r="AA5" s="68" t="n">
        <x:v>0.0621</x:v>
      </x:c>
      <x:c r="AB5" s="68" t="n">
        <x:v>3.0598770263769346</x:v>
      </x:c>
      <x:c r="AC5" s="68" t="n">
        <x:v>0.6024</x:v>
      </x:c>
      <x:c r="AD5" s="60" t="str">
        <x:v>盈利能力 100、行业地位 100</x:v>
      </x:c>
      <x:c r="AE5" s="60" t="str">
        <x:v>稳健性 43、现金流 83</x:v>
      </x:c>
    </x:row>
    <x:row r="6" ht="39.599998474121094" hidden="0" customHeight="1">
      <x:c r="A6" s="60" t="str">
        <x:v>历史深度低估</x:v>
      </x:c>
      <x:c r="B6" s="66" t="str">
        <x:v>000786.SZ</x:v>
      </x:c>
      <x:c r="C6" s="60" t="str">
        <x:v>北新建材</x:v>
      </x:c>
      <x:c r="D6" s="60" t="str">
        <x:v>建材</x:v>
      </x:c>
      <x:c r="E6" s="60" t="str">
        <x:v>装饰建材</x:v>
      </x:c>
      <x:c r="F6" s="60" t="str">
        <x:v>其他建材</x:v>
      </x:c>
      <x:c r="G6" s="61" t="n">
        <x:v>1</x:v>
      </x:c>
      <x:c r="H6" s="67" t="n">
        <x:v>88.817</x:v>
      </x:c>
      <x:c r="I6" s="68" t="n">
        <x:v>1</x:v>
      </x:c>
      <x:c r="J6" s="69" t="str">
        <x:v>历史极低位</x:v>
      </x:c>
      <x:c r="K6" s="69" t="str">
        <x:v>完整</x:v>
      </x:c>
      <x:c r="L6" s="69" t="str">
        <x:v>2026-08-19</x:v>
      </x:c>
      <x:c r="M6" s="69" t="str">
        <x:v>2026-08-24</x:v>
      </x:c>
      <x:c r="N6" s="70" t="n">
        <x:v>18.52</x:v>
      </x:c>
      <x:c r="O6" s="70" t="n">
        <x:v>10.9922</x:v>
      </x:c>
      <x:c r="P6" s="68" t="n">
        <x:v>0.051100000000000007</x:v>
      </x:c>
      <x:c r="Q6" s="70" t="n">
        <x:v>1.1284</x:v>
      </x:c>
      <x:c r="R6" s="68" t="n">
        <x:v>0.0192</x:v>
      </x:c>
      <x:c r="S6" s="68" t="n">
        <x:v>0.036987</x:v>
      </x:c>
      <x:c r="T6" s="68" t="n">
        <x:v>0.035699999999999996</x:v>
      </x:c>
      <x:c r="U6" s="68" t="n">
        <x:v>0.0353</x:v>
      </x:c>
      <x:c r="V6" s="71" t="n">
        <x:v>290.91</x:v>
      </x:c>
      <x:c r="W6" s="71" t="n">
        <x:v>53.74873088</x:v>
      </x:c>
      <x:c r="X6" s="71" t="n">
        <x:v>3.2006464</x:v>
      </x:c>
      <x:c r="Y6" s="68" t="n">
        <x:v>0.11109999999999999</x:v>
      </x:c>
      <x:c r="Z6" s="68" t="n">
        <x:v>0.28809999999999997</x:v>
      </x:c>
      <x:c r="AA6" s="68" t="n">
        <x:v>0.1186</x:v>
      </x:c>
      <x:c r="AB6" s="68" t="n">
        <x:v>8.325456657755133</x:v>
      </x:c>
      <x:c r="AC6" s="68" t="n">
        <x:v>0.21600000000000003</x:v>
      </x:c>
      <x:c r="AD6" s="60" t="str">
        <x:v>行业地位 100、盈利能力 96</x:v>
      </x:c>
      <x:c r="AE6" s="60" t="str">
        <x:v>稳健性 65、成长稳定 73</x:v>
      </x:c>
    </x:row>
    <x:row r="7" ht="39.599998474121094" hidden="0" customHeight="1">
      <x:c r="A7" s="60" t="str">
        <x:v>历史深度低估</x:v>
      </x:c>
      <x:c r="B7" s="66" t="str">
        <x:v>600874.SH</x:v>
      </x:c>
      <x:c r="C7" s="60" t="str">
        <x:v>创业环保</x:v>
      </x:c>
      <x:c r="D7" s="60" t="str">
        <x:v>环保</x:v>
      </x:c>
      <x:c r="E7" s="60" t="str">
        <x:v>环境治理</x:v>
      </x:c>
      <x:c r="F7" s="60" t="str">
        <x:v>水治理</x:v>
      </x:c>
      <x:c r="G7" s="61" t="n">
        <x:v>1</x:v>
      </x:c>
      <x:c r="H7" s="67" t="n">
        <x:v>87.4163</x:v>
      </x:c>
      <x:c r="I7" s="68" t="n">
        <x:v>1</x:v>
      </x:c>
      <x:c r="J7" s="69" t="str">
        <x:v>历史极低位</x:v>
      </x:c>
      <x:c r="K7" s="69" t="str">
        <x:v>完整</x:v>
      </x:c>
      <x:c r="L7" s="69" t="str">
        <x:v>2026-08-19</x:v>
      </x:c>
      <x:c r="M7" s="69" t="str">
        <x:v>2026-08-24</x:v>
      </x:c>
      <x:c r="N7" s="70" t="n">
        <x:v>5.6</x:v>
      </x:c>
      <x:c r="O7" s="70" t="n">
        <x:v>9.9486</x:v>
      </x:c>
      <x:c r="P7" s="68" t="n">
        <x:v>0.08410000000000001</x:v>
      </x:c>
      <x:c r="Q7" s="70" t="n">
        <x:v>0.8347</x:v>
      </x:c>
      <x:c r="R7" s="68" t="n">
        <x:v>0.0385</x:v>
      </x:c>
      <x:c r="S7" s="68" t="n">
        <x:v>0.037321</x:v>
      </x:c>
      <x:c r="T7" s="68" t="n">
        <x:v>0.0218</x:v>
      </x:c>
      <x:c r="U7" s="68" t="n">
        <x:v>0.0481</x:v>
      </x:c>
      <x:c r="V7" s="71" t="n">
        <x:v>87.47</x:v>
      </x:c>
      <x:c r="W7" s="71" t="n">
        <x:v>13.12957312</x:v>
      </x:c>
      <x:c r="X7" s="71" t="n">
        <x:v>1.60485472</x:v>
      </x:c>
      <x:c r="Y7" s="68" t="n">
        <x:v>0.08650000000000001</x:v>
      </x:c>
      <x:c r="Z7" s="68" t="n">
        <x:v>0.38280000000000003</x:v>
      </x:c>
      <x:c r="AA7" s="68" t="n">
        <x:v>0.1925</x:v>
      </x:c>
      <x:c r="AB7" s="68" t="n">
        <x:v>17.328753894931996</x:v>
      </x:c>
      <x:c r="AC7" s="68" t="n">
        <x:v>0.561</x:v>
      </x:c>
      <x:c r="AD7" s="60" t="str">
        <x:v>行业地位 95、同行估值 94</x:v>
      </x:c>
      <x:c r="AE7" s="60" t="str">
        <x:v>稳健性 66、盈利能力 82</x:v>
      </x:c>
    </x:row>
    <x:row r="8" ht="39.599998474121094" hidden="0" customHeight="1">
      <x:c r="A8" s="60" t="str">
        <x:v>历史深度低估</x:v>
      </x:c>
      <x:c r="B8" s="66" t="str">
        <x:v>300015.SZ</x:v>
      </x:c>
      <x:c r="C8" s="60" t="str">
        <x:v>爱尔眼科</x:v>
      </x:c>
      <x:c r="D8" s="60" t="str">
        <x:v>医药医疗</x:v>
      </x:c>
      <x:c r="E8" s="60" t="str">
        <x:v>医疗服务</x:v>
      </x:c>
      <x:c r="F8" s="60" t="str">
        <x:v>医院</x:v>
      </x:c>
      <x:c r="G8" s="61" t="n">
        <x:v>1</x:v>
      </x:c>
      <x:c r="H8" s="67" t="n">
        <x:v>86.8571</x:v>
      </x:c>
      <x:c r="I8" s="68" t="n">
        <x:v>1</x:v>
      </x:c>
      <x:c r="J8" s="69" t="str">
        <x:v>历史极低位</x:v>
      </x:c>
      <x:c r="K8" s="69" t="str">
        <x:v>完整</x:v>
      </x:c>
      <x:c r="L8" s="69" t="str">
        <x:v>2026-08-19</x:v>
      </x:c>
      <x:c r="M8" s="69" t="str">
        <x:v>2026-08-24</x:v>
      </x:c>
      <x:c r="N8" s="70" t="n">
        <x:v>8.43</x:v>
      </x:c>
      <x:c r="O8" s="70" t="n">
        <x:v>23.2553</x:v>
      </x:c>
      <x:c r="P8" s="68" t="n">
        <x:v>0.0143</x:v>
      </x:c>
      <x:c r="Q8" s="70" t="n">
        <x:v>3.4018</x:v>
      </x:c>
      <x:c r="R8" s="68" t="n">
        <x:v>0.013500000000000002</x:v>
      </x:c>
      <x:c r="S8" s="68" t="n">
        <x:v>0.021352000000000003</x:v>
      </x:c>
      <x:c r="T8" s="68" t="n">
        <x:v>0.0731</x:v>
      </x:c>
      <x:c r="U8" s="68" t="n">
        <x:v>0.0336</x:v>
      </x:c>
      <x:c r="V8" s="71" t="n">
        <x:v>775.58</x:v>
      </x:c>
      <x:c r="W8" s="71" t="n">
        <x:v>48.6874624</x:v>
      </x:c>
      <x:c r="X8" s="71" t="n">
        <x:v>1.2551904</x:v>
      </x:c>
      <x:c r="Y8" s="68" t="n">
        <x:v>0.1497</x:v>
      </x:c>
      <x:c r="Z8" s="68" t="n">
        <x:v>0.4711</x:v>
      </x:c>
      <x:c r="AA8" s="68" t="n">
        <x:v>0.15539999999999998</x:v>
      </x:c>
      <x:c r="AB8" s="68" t="n">
        <x:v>7.1253633552328</x:v>
      </x:c>
      <x:c r="AC8" s="68" t="n">
        <x:v>0.36200000000000004</x:v>
      </x:c>
      <x:c r="AD8" s="60" t="str">
        <x:v>行业地位 98、盈利能力 95</x:v>
      </x:c>
      <x:c r="AE8" s="60" t="str">
        <x:v>现金流 67、稳健性 72</x:v>
      </x:c>
    </x:row>
    <x:row r="9" ht="39.599998474121094" hidden="0" customHeight="1">
      <x:c r="A9" s="60" t="str">
        <x:v>历史深度低估</x:v>
      </x:c>
      <x:c r="B9" s="66" t="str">
        <x:v>300470.SZ</x:v>
      </x:c>
      <x:c r="C9" s="60" t="str">
        <x:v>中密控股</x:v>
      </x:c>
      <x:c r="D9" s="60" t="str">
        <x:v>机械设备</x:v>
      </x:c>
      <x:c r="E9" s="60" t="str">
        <x:v>通用设备</x:v>
      </x:c>
      <x:c r="F9" s="60" t="str">
        <x:v>机械基础件</x:v>
      </x:c>
      <x:c r="G9" s="61" t="n">
        <x:v>1</x:v>
      </x:c>
      <x:c r="H9" s="67" t="n">
        <x:v>86.3359</x:v>
      </x:c>
      <x:c r="I9" s="68" t="n">
        <x:v>1</x:v>
      </x:c>
      <x:c r="J9" s="69" t="str">
        <x:v>历史极低位</x:v>
      </x:c>
      <x:c r="K9" s="69" t="str">
        <x:v>完整</x:v>
      </x:c>
      <x:c r="L9" s="69" t="str">
        <x:v>2026-08-19</x:v>
      </x:c>
      <x:c r="M9" s="69" t="str">
        <x:v>2026-08-24</x:v>
      </x:c>
      <x:c r="N9" s="70" t="n">
        <x:v>27.84</x:v>
      </x:c>
      <x:c r="O9" s="70" t="n">
        <x:v>16.189</x:v>
      </x:c>
      <x:c r="P9" s="68" t="n">
        <x:v>0.0053</x:v>
      </x:c>
      <x:c r="Q9" s="70" t="n">
        <x:v>1.9478</x:v>
      </x:c>
      <x:c r="R9" s="68" t="n">
        <x:v>0.0053</x:v>
      </x:c>
      <x:c r="S9" s="68" t="n">
        <x:v>0.03592</x:v>
      </x:c>
      <x:c r="T9" s="68" t="n">
        <x:v>0.005699999999999999</x:v>
      </x:c>
      <x:c r="U9" s="68" t="n">
        <x:v>0.0054</x:v>
      </x:c>
      <x:c r="V9" s="71" t="n">
        <x:v>58.85</x:v>
      </x:c>
      <x:c r="W9" s="71" t="n">
        <x:v>4.85421536</x:v>
      </x:c>
      <x:c r="X9" s="71" t="n">
        <x:v>1.07132216</x:v>
      </x:c>
      <x:c r="Y9" s="68" t="n">
        <x:v>0.138</x:v>
      </x:c>
      <x:c r="Z9" s="68" t="n">
        <x:v>0.4558</x:v>
      </x:c>
      <x:c r="AA9" s="68" t="n">
        <x:v>0.218</x:v>
      </x:c>
      <x:c r="AB9" s="68" t="n">
        <x:v>2.4179433756882243</x:v>
      </x:c>
      <x:c r="AC9" s="68" t="n">
        <x:v>0.171</x:v>
      </x:c>
      <x:c r="AD9" s="60" t="str">
        <x:v>盈利能力 96、同行估值 93</x:v>
      </x:c>
      <x:c r="AE9" s="60" t="str">
        <x:v>现金流 76、行业地位 80</x:v>
      </x:c>
    </x:row>
    <x:row r="10" ht="39.599998474121094" hidden="0" customHeight="1">
      <x:c r="A10" s="60" t="str">
        <x:v>历史深度低估</x:v>
      </x:c>
      <x:c r="B10" s="66" t="str">
        <x:v>300144.SZ</x:v>
      </x:c>
      <x:c r="C10" s="60" t="str">
        <x:v>宋城演艺</x:v>
      </x:c>
      <x:c r="D10" s="60" t="str">
        <x:v>社会服务</x:v>
      </x:c>
      <x:c r="E10" s="60" t="str">
        <x:v>旅游</x:v>
      </x:c>
      <x:c r="F10" s="60" t="str">
        <x:v>旅游景区</x:v>
      </x:c>
      <x:c r="G10" s="61" t="n">
        <x:v>1</x:v>
      </x:c>
      <x:c r="H10" s="67" t="n">
        <x:v>84.4663</x:v>
      </x:c>
      <x:c r="I10" s="68" t="n">
        <x:v>1</x:v>
      </x:c>
      <x:c r="J10" s="69" t="str">
        <x:v>历史极低位</x:v>
      </x:c>
      <x:c r="K10" s="69" t="str">
        <x:v>完整</x:v>
      </x:c>
      <x:c r="L10" s="69" t="str">
        <x:v>2026-08-19</x:v>
      </x:c>
      <x:c r="M10" s="69" t="str">
        <x:v>2026-08-24</x:v>
      </x:c>
      <x:c r="N10" s="70" t="n">
        <x:v>5.89</x:v>
      </x:c>
      <x:c r="O10" s="70" t="n">
        <x:v>19.6285</x:v>
      </x:c>
      <x:c r="P10" s="68" t="n">
        <x:v>0.0051</x:v>
      </x:c>
      <x:c r="Q10" s="70" t="n">
        <x:v>1.9639</x:v>
      </x:c>
      <x:c r="R10" s="68" t="n">
        <x:v>0.0053</x:v>
      </x:c>
      <x:c r="S10" s="68" t="n">
        <x:v>0.042445000000000004</x:v>
      </x:c>
      <x:c r="T10" s="68" t="n">
        <x:v>0.016200000000000003</x:v>
      </x:c>
      <x:c r="U10" s="68" t="n">
        <x:v>0.0089</x:v>
      </x:c>
      <x:c r="V10" s="71" t="n">
        <x:v>151.31</x:v>
      </x:c>
      <x:c r="W10" s="71" t="n">
        <x:v>4.25004192</x:v>
      </x:c>
      <x:c r="X10" s="71" t="n">
        <x:v>0.64044576</x:v>
      </x:c>
      <x:c r="Y10" s="68" t="n">
        <x:v>0.0989</x:v>
      </x:c>
      <x:c r="Z10" s="68" t="n">
        <x:v>0.6476000000000001</x:v>
      </x:c>
      <x:c r="AA10" s="68" t="n">
        <x:v>0.3771</x:v>
      </x:c>
      <x:c r="AB10" s="68" t="n">
        <x:v>3.718380897704749</x:v>
      </x:c>
      <x:c r="AC10" s="68" t="n">
        <x:v>0.14529999999999998</x:v>
      </x:c>
      <x:c r="AD10" s="60" t="str">
        <x:v>行业地位 98、现金流 92</x:v>
      </x:c>
      <x:c r="AE10" s="60" t="str">
        <x:v>成长稳定 52、同行估值 83</x:v>
      </x:c>
    </x:row>
    <x:row r="11" ht="52.79999923706055" hidden="0" customHeight="1">
      <x:c r="A11" s="60" t="str">
        <x:v>历史深度低估</x:v>
      </x:c>
      <x:c r="B11" s="66" t="str">
        <x:v>002311.SZ</x:v>
      </x:c>
      <x:c r="C11" s="60" t="str">
        <x:v>海大集团</x:v>
      </x:c>
      <x:c r="D11" s="60" t="str">
        <x:v>农林牧渔</x:v>
      </x:c>
      <x:c r="E11" s="60" t="str">
        <x:v>饲料</x:v>
      </x:c>
      <x:c r="F11" s="60" t="str">
        <x:v>水产饲料</x:v>
      </x:c>
      <x:c r="G11" s="61" t="n">
        <x:v>1</x:v>
      </x:c>
      <x:c r="H11" s="67" t="n">
        <x:v>84.25</x:v>
      </x:c>
      <x:c r="I11" s="68" t="n">
        <x:v>1</x:v>
      </x:c>
      <x:c r="J11" s="69" t="str">
        <x:v>历史极低位</x:v>
      </x:c>
      <x:c r="K11" s="69" t="str">
        <x:v>完整</x:v>
      </x:c>
      <x:c r="L11" s="69" t="str">
        <x:v>2026-08-19</x:v>
      </x:c>
      <x:c r="M11" s="69" t="str">
        <x:v>2026-08-24</x:v>
      </x:c>
      <x:c r="N11" s="70" t="n">
        <x:v>45.27</x:v>
      </x:c>
      <x:c r="O11" s="70" t="n">
        <x:v>19.2918</x:v>
      </x:c>
      <x:c r="P11" s="68" t="n">
        <x:v>0.21530000000000002</x:v>
      </x:c>
      <x:c r="Q11" s="70" t="n">
        <x:v>2.9473</x:v>
      </x:c>
      <x:c r="R11" s="68" t="n">
        <x:v>0.0274</x:v>
      </x:c>
      <x:c r="S11" s="68" t="n">
        <x:v>0.028717000000000003</x:v>
      </x:c>
      <x:c r="T11" s="68" t="n">
        <x:v>0.0217</x:v>
      </x:c>
      <x:c r="U11" s="68" t="n">
        <x:v>0.08810000000000001</x:v>
      </x:c>
      <x:c r="V11" s="71" t="n">
        <x:v>766.56</x:v>
      </x:c>
      <x:c r="W11" s="71" t="n">
        <x:v>323.74079488</x:v>
      </x:c>
      <x:c r="X11" s="71" t="n">
        <x:v>1.3790312</x:v>
      </x:c>
      <x:c r="Y11" s="68" t="n">
        <x:v>0.17420000000000002</x:v>
      </x:c>
      <x:c r="Z11" s="68" t="n">
        <x:v>0.1033</x:v>
      </x:c>
      <x:c r="AA11" s="68" t="n">
        <x:v>0.0354</x:v>
      </x:c>
      <x:c r="AB11" s="68" t="n">
        <x:v>9.01317179770842</x:v>
      </x:c>
      <x:c r="AC11" s="68" t="n">
        <x:v>0.4642</x:v>
      </x:c>
      <x:c r="AD11" s="60" t="str">
        <x:v>盈利能力 100、行业地位 100</x:v>
      </x:c>
      <x:c r="AE11" s="60" t="str">
        <x:v>现金流 47、同行估值 70</x:v>
      </x:c>
    </x:row>
    <x:row r="12" ht="39.599998474121094" hidden="0" customHeight="1">
      <x:c r="A12" s="60" t="str">
        <x:v>历史深度低估</x:v>
      </x:c>
      <x:c r="B12" s="66" t="str">
        <x:v>300910.SZ</x:v>
      </x:c>
      <x:c r="C12" s="60" t="str">
        <x:v>瑞丰新材</x:v>
      </x:c>
      <x:c r="D12" s="60" t="str">
        <x:v>化工</x:v>
      </x:c>
      <x:c r="E12" s="60" t="str">
        <x:v>化学制品</x:v>
      </x:c>
      <x:c r="F12" s="60" t="str">
        <x:v>其他化学制品</x:v>
      </x:c>
      <x:c r="G12" s="61" t="n">
        <x:v>1</x:v>
      </x:c>
      <x:c r="H12" s="67" t="n">
        <x:v>83.9488</x:v>
      </x:c>
      <x:c r="I12" s="68" t="n">
        <x:v>1</x:v>
      </x:c>
      <x:c r="J12" s="69" t="str">
        <x:v>历史极低位</x:v>
      </x:c>
      <x:c r="K12" s="69" t="str">
        <x:v>完整</x:v>
      </x:c>
      <x:c r="L12" s="69" t="str">
        <x:v>2026-08-19</x:v>
      </x:c>
      <x:c r="M12" s="69" t="str">
        <x:v>2026-08-24</x:v>
      </x:c>
      <x:c r="N12" s="70" t="n">
        <x:v>26.46</x:v>
      </x:c>
      <x:c r="O12" s="70" t="n">
        <x:v>14.8746</x:v>
      </x:c>
      <x:c r="P12" s="68" t="n">
        <x:v>0.0053</x:v>
      </x:c>
      <x:c r="Q12" s="70" t="n">
        <x:v>2.5603</x:v>
      </x:c>
      <x:c r="R12" s="68" t="n">
        <x:v>0.0053</x:v>
      </x:c>
      <x:c r="S12" s="68" t="n">
        <x:v>0.056688999999999996</x:v>
      </x:c>
      <x:c r="T12" s="68" t="n">
        <x:v>0.0329</x:v>
      </x:c>
      <x:c r="U12" s="68" t="n">
        <x:v>0.014499999999999999</x:v>
      </x:c>
      <x:c r="V12" s="71" t="n">
        <x:v>96.76</x:v>
      </x:c>
      <x:c r="W12" s="71" t="n">
        <x:v>9.57580544</x:v>
      </x:c>
      <x:c r="X12" s="71" t="n">
        <x:v>1.62044096</x:v>
      </x:c>
      <x:c r="Y12" s="68" t="n">
        <x:v>0.20989999999999998</x:v>
      </x:c>
      <x:c r="Z12" s="68" t="n">
        <x:v>0.34600000000000003</x:v>
      </x:c>
      <x:c r="AA12" s="68" t="n">
        <x:v>0.2114</x:v>
      </x:c>
      <x:c r="AB12" s="68" t="n">
        <x:v>1.2274158263686448</x:v>
      </x:c>
      <x:c r="AC12" s="68" t="n">
        <x:v>0.2447</x:v>
      </x:c>
      <x:c r="AD12" s="60" t="str">
        <x:v>行业地位 93、盈利能力 92</x:v>
      </x:c>
      <x:c r="AE12" s="60" t="str">
        <x:v>现金流 58、稳健性 81</x:v>
      </x:c>
    </x:row>
    <x:row r="13" ht="39.599998474121094" hidden="0" customHeight="1">
      <x:c r="A13" s="60" t="str">
        <x:v>历史深度低估</x:v>
      </x:c>
      <x:c r="B13" s="66" t="str">
        <x:v>601965.SH</x:v>
      </x:c>
      <x:c r="C13" s="60" t="str">
        <x:v>中国汽研</x:v>
      </x:c>
      <x:c r="D13" s="60" t="str">
        <x:v>汽车</x:v>
      </x:c>
      <x:c r="E13" s="60" t="str">
        <x:v>汽车服务</x:v>
      </x:c>
      <x:c r="F13" s="60" t="str">
        <x:v>汽车综合服务</x:v>
      </x:c>
      <x:c r="G13" s="61" t="n">
        <x:v>1</x:v>
      </x:c>
      <x:c r="H13" s="67" t="n">
        <x:v>83.625</x:v>
      </x:c>
      <x:c r="I13" s="68" t="n">
        <x:v>1</x:v>
      </x:c>
      <x:c r="J13" s="69" t="str">
        <x:v>历史极低位</x:v>
      </x:c>
      <x:c r="K13" s="69" t="str">
        <x:v>完整</x:v>
      </x:c>
      <x:c r="L13" s="69" t="str">
        <x:v>2026-08-19</x:v>
      </x:c>
      <x:c r="M13" s="69" t="str">
        <x:v>2026-08-24</x:v>
      </x:c>
      <x:c r="N13" s="70" t="n">
        <x:v>13.91</x:v>
      </x:c>
      <x:c r="O13" s="70" t="n">
        <x:v>13.3569</x:v>
      </x:c>
      <x:c r="P13" s="68" t="n">
        <x:v>0.024</x:v>
      </x:c>
      <x:c r="Q13" s="70" t="n">
        <x:v>1.7426</x:v>
      </x:c>
      <x:c r="R13" s="68" t="n">
        <x:v>0.024</x:v>
      </x:c>
      <x:c r="S13" s="68" t="n">
        <x:v>0.024443000000000003</x:v>
      </x:c>
      <x:c r="T13" s="68" t="n">
        <x:v>0.07519999999999999</x:v>
      </x:c>
      <x:c r="U13" s="68" t="n">
        <x:v>0.041100000000000005</x:v>
      </x:c>
      <x:c r="V13" s="71" t="n">
        <x:v>139.37</x:v>
      </x:c>
      <x:c r="W13" s="71" t="n">
        <x:v>19.4228544</x:v>
      </x:c>
      <x:c r="X13" s="71" t="n">
        <x:v>3.91606016</x:v>
      </x:c>
      <x:c r="Y13" s="68" t="n">
        <x:v>0.1431</x:v>
      </x:c>
      <x:c r="Z13" s="68" t="n">
        <x:v>0.45880000000000004</x:v>
      </x:c>
      <x:c r="AA13" s="68" t="n">
        <x:v>0.2275</x:v>
      </x:c>
      <x:c r="AB13" s="68" t="n">
        <x:v>3.034042377939363</x:v>
      </x:c>
      <x:c r="AC13" s="68" t="n">
        <x:v>0.3134</x:v>
      </x:c>
      <x:c r="AD13" s="60" t="str">
        <x:v>行业地位 100、同行估值 85</x:v>
      </x:c>
      <x:c r="AE13" s="60" t="str">
        <x:v>稳健性 60、成长稳定 72</x:v>
      </x:c>
    </x:row>
    <x:row r="14" ht="39.599998474121094" hidden="0" customHeight="1">
      <x:c r="A14" s="60" t="str">
        <x:v>历史深度低估</x:v>
      </x:c>
      <x:c r="B14" s="66" t="str">
        <x:v>688278.SH</x:v>
      </x:c>
      <x:c r="C14" s="60" t="str">
        <x:v>特宝生物</x:v>
      </x:c>
      <x:c r="D14" s="60" t="str">
        <x:v>医药医疗</x:v>
      </x:c>
      <x:c r="E14" s="60" t="str">
        <x:v>生物制品</x:v>
      </x:c>
      <x:c r="F14" s="60" t="str">
        <x:v>其他生物制药</x:v>
      </x:c>
      <x:c r="G14" s="61" t="n">
        <x:v>1</x:v>
      </x:c>
      <x:c r="H14" s="67" t="n">
        <x:v>83.5385</x:v>
      </x:c>
      <x:c r="I14" s="68" t="n">
        <x:v>1</x:v>
      </x:c>
      <x:c r="J14" s="69" t="str">
        <x:v>历史极低位</x:v>
      </x:c>
      <x:c r="K14" s="69" t="str">
        <x:v>完整</x:v>
      </x:c>
      <x:c r="L14" s="69" t="str">
        <x:v>2026-08-19</x:v>
      </x:c>
      <x:c r="M14" s="69" t="str">
        <x:v>2026-08-24</x:v>
      </x:c>
      <x:c r="N14" s="70" t="n">
        <x:v>64.4</x:v>
      </x:c>
      <x:c r="O14" s="70" t="n">
        <x:v>25.9346</x:v>
      </x:c>
      <x:c r="P14" s="68" t="n">
        <x:v>0.075</x:v>
      </x:c>
      <x:c r="Q14" s="70" t="n">
        <x:v>7.2409</x:v>
      </x:c>
      <x:c r="R14" s="68" t="n">
        <x:v>0.0632</x:v>
      </x:c>
      <x:c r="S14" s="68" t="n">
        <x:v>0.009627</x:v>
      </x:c>
      <x:c r="T14" s="68" t="n">
        <x:v>0.0674</x:v>
      </x:c>
      <x:c r="U14" s="68" t="n">
        <x:v>0.06849999999999999</x:v>
      </x:c>
      <x:c r="V14" s="71" t="n">
        <x:v>242.75</x:v>
      </x:c>
      <x:c r="W14" s="71" t="n">
        <x:v>12.16019968</x:v>
      </x:c>
      <x:c r="X14" s="71" t="n">
        <x:v>3.6511248</x:v>
      </x:c>
      <x:c r="Y14" s="68" t="n">
        <x:v>0.3483</x:v>
      </x:c>
      <x:c r="Z14" s="68" t="n">
        <x:v>0.9296</x:v>
      </x:c>
      <x:c r="AA14" s="68" t="n">
        <x:v>0.27899999999999997</x:v>
      </x:c>
      <x:c r="AB14" s="68" t="n">
        <x:v>0.707337267682551</x:v>
      </x:c>
      <x:c r="AC14" s="68" t="n">
        <x:v>0.2113</x:v>
      </x:c>
      <x:c r="AD14" s="60" t="str">
        <x:v>盈利能力 93、行业地位 92</x:v>
      </x:c>
      <x:c r="AE14" s="60" t="str">
        <x:v>现金流 66、同行估值 66</x:v>
      </x:c>
    </x:row>
    <x:row r="15" ht="39.599998474121094" hidden="0" customHeight="1">
      <x:c r="A15" s="60" t="str">
        <x:v>历史深度低估</x:v>
      </x:c>
      <x:c r="B15" s="66" t="str">
        <x:v>002690.SZ</x:v>
      </x:c>
      <x:c r="C15" s="60" t="str">
        <x:v>美亚光电</x:v>
      </x:c>
      <x:c r="D15" s="60" t="str">
        <x:v>机械设备</x:v>
      </x:c>
      <x:c r="E15" s="60" t="str">
        <x:v>专用设备</x:v>
      </x:c>
      <x:c r="F15" s="60" t="str">
        <x:v>其他专用设备</x:v>
      </x:c>
      <x:c r="G15" s="61" t="n">
        <x:v>1</x:v>
      </x:c>
      <x:c r="H15" s="67" t="n">
        <x:v>83.1237</x:v>
      </x:c>
      <x:c r="I15" s="68" t="n">
        <x:v>1</x:v>
      </x:c>
      <x:c r="J15" s="69" t="str">
        <x:v>历史极低位</x:v>
      </x:c>
      <x:c r="K15" s="69" t="str">
        <x:v>完整</x:v>
      </x:c>
      <x:c r="L15" s="69" t="str">
        <x:v>2026-08-19</x:v>
      </x:c>
      <x:c r="M15" s="69" t="str">
        <x:v>2026-08-24</x:v>
      </x:c>
      <x:c r="N15" s="70" t="n">
        <x:v>15.5</x:v>
      </x:c>
      <x:c r="O15" s="70" t="n">
        <x:v>18.8191</x:v>
      </x:c>
      <x:c r="P15" s="68" t="n">
        <x:v>0.0788</x:v>
      </x:c>
      <x:c r="Q15" s="70" t="n">
        <x:v>4.519</x:v>
      </x:c>
      <x:c r="R15" s="68" t="n">
        <x:v>0.0421</x:v>
      </x:c>
      <x:c r="S15" s="68" t="n">
        <x:v>0.045161</x:v>
      </x:c>
      <x:c r="T15" s="68" t="n">
        <x:v>0.1481</x:v>
      </x:c>
      <x:c r="U15" s="68" t="n">
        <x:v>0.0897</x:v>
      </x:c>
      <x:c r="V15" s="71" t="n">
        <x:v>134.28</x:v>
      </x:c>
      <x:c r="W15" s="71" t="n">
        <x:v>7.128288</x:v>
      </x:c>
      <x:c r="X15" s="71" t="n">
        <x:v>2.00256976</x:v>
      </x:c>
      <x:c r="Y15" s="68" t="n">
        <x:v>0.2605</x:v>
      </x:c>
      <x:c r="Z15" s="68" t="n">
        <x:v>0.5392</x:v>
      </x:c>
      <x:c r="AA15" s="68" t="n">
        <x:v>0.2988</x:v>
      </x:c>
      <x:c r="AB15" s="68" t="n">
        <x:v>1.5646155767377612</x:v>
      </x:c>
      <x:c r="AC15" s="68" t="n">
        <x:v>0.1888</x:v>
      </x:c>
      <x:c r="AD15" s="60" t="str">
        <x:v>盈利能力 99、行业地位 88</x:v>
      </x:c>
      <x:c r="AE15" s="60" t="str">
        <x:v>现金流 73、同行估值 75</x:v>
      </x:c>
    </x:row>
    <x:row r="16" ht="39.599998474121094" hidden="0" customHeight="1">
      <x:c r="A16" s="60" t="str">
        <x:v>历史深度低估</x:v>
      </x:c>
      <x:c r="B16" s="66" t="str">
        <x:v>688111.SH</x:v>
      </x:c>
      <x:c r="C16" s="60" t="str">
        <x:v>金山办公</x:v>
      </x:c>
      <x:c r="D16" s="60" t="str">
        <x:v>计算机</x:v>
      </x:c>
      <x:c r="E16" s="60" t="str">
        <x:v>云服务</x:v>
      </x:c>
      <x:c r="F16" s="60" t="str">
        <x:v>云软件服务</x:v>
      </x:c>
      <x:c r="G16" s="61" t="n">
        <x:v>1</x:v>
      </x:c>
      <x:c r="H16" s="67" t="n">
        <x:v>83.0635</x:v>
      </x:c>
      <x:c r="I16" s="68" t="n">
        <x:v>1</x:v>
      </x:c>
      <x:c r="J16" s="69" t="str">
        <x:v>历史极低位</x:v>
      </x:c>
      <x:c r="K16" s="69" t="str">
        <x:v>完整</x:v>
      </x:c>
      <x:c r="L16" s="69" t="str">
        <x:v>2026-08-19</x:v>
      </x:c>
      <x:c r="M16" s="69" t="str">
        <x:v>2026-08-24</x:v>
      </x:c>
      <x:c r="N16" s="70" t="n">
        <x:v>247.13</x:v>
      </x:c>
      <x:c r="O16" s="70" t="n">
        <x:v>31.6002</x:v>
      </x:c>
      <x:c r="P16" s="68" t="n">
        <x:v>0.035699999999999996</x:v>
      </x:c>
      <x:c r="Q16" s="70" t="n">
        <x:v>7.5792</x:v>
      </x:c>
      <x:c r="R16" s="68" t="n">
        <x:v>0.0373</x:v>
      </x:c>
      <x:c r="S16" s="68" t="n">
        <x:v>0.005058</x:v>
      </x:c>
      <x:c r="T16" s="68" t="n">
        <x:v>0.0391</x:v>
      </x:c>
      <x:c r="U16" s="68" t="n">
        <x:v>0.0374</x:v>
      </x:c>
      <x:c r="V16" s="71" t="n">
        <x:v>1082.54</x:v>
      </x:c>
      <x:c r="W16" s="71" t="n">
        <x:v>17.50359424</x:v>
      </x:c>
      <x:c r="X16" s="71" t="n">
        <x:v>6.58031232</x:v>
      </x:c>
      <x:c r="Y16" s="68" t="n">
        <x:v>0.152</x:v>
      </x:c>
      <x:c r="Z16" s="68" t="n">
        <x:v>0.8595</x:v>
      </x:c>
      <x:c r="AA16" s="68" t="n">
        <x:v>0.3073</x:v>
      </x:c>
      <x:c r="AB16" s="68" t="n">
        <x:v>1.8614788667052204</x:v>
      </x:c>
      <x:c r="AC16" s="68" t="n">
        <x:v>0.292</x:v>
      </x:c>
      <x:c r="AD16" s="60" t="str">
        <x:v>盈利能力 100、成长稳定 98</x:v>
      </x:c>
      <x:c r="AE16" s="60" t="str">
        <x:v>稳健性 38、同行估值 70</x:v>
      </x:c>
    </x:row>
    <x:row r="17" ht="39.599998474121094" hidden="0" customHeight="1">
      <x:c r="A17" s="60" t="str">
        <x:v>历史深度低估</x:v>
      </x:c>
      <x:c r="B17" s="66" t="str">
        <x:v>600519.SH</x:v>
      </x:c>
      <x:c r="C17" s="60" t="str">
        <x:v>贵州茅台</x:v>
      </x:c>
      <x:c r="D17" s="60" t="str">
        <x:v>食品饮料</x:v>
      </x:c>
      <x:c r="E17" s="60" t="str">
        <x:v>酿酒</x:v>
      </x:c>
      <x:c r="F17" s="60" t="str">
        <x:v>白酒</x:v>
      </x:c>
      <x:c r="G17" s="61" t="n">
        <x:v>1</x:v>
      </x:c>
      <x:c r="H17" s="67" t="n">
        <x:v>83.0256</x:v>
      </x:c>
      <x:c r="I17" s="68" t="n">
        <x:v>1</x:v>
      </x:c>
      <x:c r="J17" s="69" t="str">
        <x:v>历史极低位</x:v>
      </x:c>
      <x:c r="K17" s="69" t="str">
        <x:v>完整</x:v>
      </x:c>
      <x:c r="L17" s="69" t="str">
        <x:v>2026-08-19</x:v>
      </x:c>
      <x:c r="M17" s="69" t="str">
        <x:v>2026-08-24</x:v>
      </x:c>
      <x:c r="N17" s="70" t="n">
        <x:v>1307.88</x:v>
      </x:c>
      <x:c r="O17" s="70" t="n">
        <x:v>19.7661</x:v>
      </x:c>
      <x:c r="P17" s="68" t="n">
        <x:v>0.07339999999999999</x:v>
      </x:c>
      <x:c r="Q17" s="70" t="n">
        <x:v>6.0354</x:v>
      </x:c>
      <x:c r="R17" s="68" t="n">
        <x:v>0.035699999999999996</x:v>
      </x:c>
      <x:c r="S17" s="68" t="n">
        <x:v>0.039744</x:v>
      </x:c>
      <x:c r="T17" s="68" t="n">
        <x:v>0.0461</x:v>
      </x:c>
      <x:c r="U17" s="68" t="n">
        <x:v>0.051699999999999996</x:v>
      </x:c>
      <x:c r="V17" s="71" t="n">
        <x:v>16309.31</x:v>
      </x:c>
      <x:c r="W17" s="71" t="n">
        <x:v>403.84393216</x:v>
      </x:c>
      <x:c r="X17" s="71" t="n">
        <x:v>176.93321216</x:v>
      </x:c>
      <x:c r="Y17" s="68" t="n">
        <x:v>0.32530000000000003</x:v>
      </x:c>
      <x:c r="Z17" s="68" t="n">
        <x:v>0.9118</x:v>
      </x:c>
      <x:c r="AA17" s="68" t="n">
        <x:v>0.5053</x:v>
      </x:c>
      <x:c r="AB17" s="68" t="n">
        <x:v>1.3183168299068087</x:v>
      </x:c>
      <x:c r="AC17" s="68" t="n">
        <x:v>0.1642</x:v>
      </x:c>
      <x:c r="AD17" s="60" t="str">
        <x:v>行业地位 100、盈利能力 98</x:v>
      </x:c>
      <x:c r="AE17" s="60" t="str">
        <x:v>同行估值 45、稳健性 59</x:v>
      </x:c>
    </x:row>
    <x:row r="18" ht="52.79999923706055" hidden="0" customHeight="1">
      <x:c r="A18" s="60" t="str">
        <x:v>历史深度低估</x:v>
      </x:c>
      <x:c r="B18" s="66" t="str">
        <x:v>603605.SH</x:v>
      </x:c>
      <x:c r="C18" s="60" t="str">
        <x:v>珀莱雅</x:v>
      </x:c>
      <x:c r="D18" s="60" t="str">
        <x:v>化工</x:v>
      </x:c>
      <x:c r="E18" s="60" t="str">
        <x:v>日用化工</x:v>
      </x:c>
      <x:c r="F18" s="60" t="str">
        <x:v>化妆品</x:v>
      </x:c>
      <x:c r="G18" s="61" t="n">
        <x:v>1</x:v>
      </x:c>
      <x:c r="H18" s="67" t="n">
        <x:v>82.3</x:v>
      </x:c>
      <x:c r="I18" s="68" t="n">
        <x:v>1</x:v>
      </x:c>
      <x:c r="J18" s="69" t="str">
        <x:v>历史极低位</x:v>
      </x:c>
      <x:c r="K18" s="69" t="str">
        <x:v>完整</x:v>
      </x:c>
      <x:c r="L18" s="69" t="str">
        <x:v>2026-08-19</x:v>
      </x:c>
      <x:c r="M18" s="69" t="str">
        <x:v>2026-08-24</x:v>
      </x:c>
      <x:c r="N18" s="70" t="n">
        <x:v>55.64</x:v>
      </x:c>
      <x:c r="O18" s="70" t="n">
        <x:v>14.9456</x:v>
      </x:c>
      <x:c r="P18" s="68" t="n">
        <x:v>0.0051</x:v>
      </x:c>
      <x:c r="Q18" s="70" t="n">
        <x:v>3.4392</x:v>
      </x:c>
      <x:c r="R18" s="68" t="n">
        <x:v>0.0051</x:v>
      </x:c>
      <x:c r="S18" s="68" t="n">
        <x:v>0.035945</x:v>
      </x:c>
      <x:c r="T18" s="68" t="n">
        <x:v>0.0051</x:v>
      </x:c>
      <x:c r="U18" s="68" t="n">
        <x:v>0.0051</x:v>
      </x:c>
      <x:c r="V18" s="71" t="n">
        <x:v>223.96</x:v>
      </x:c>
      <x:c r="W18" s="71" t="n">
        <x:v>34.99528704</x:v>
      </x:c>
      <x:c r="X18" s="71" t="n">
        <x:v>4.7205136</x:v>
      </x:c>
      <x:c r="Y18" s="68" t="n">
        <x:v>0.258</x:v>
      </x:c>
      <x:c r="Z18" s="68" t="n">
        <x:v>0.7326</x:v>
      </x:c>
      <x:c r="AA18" s="68" t="n">
        <x:v>0.1456</x:v>
      </x:c>
      <x:c r="AB18" s="68" t="n">
        <x:v>2.1071423753550884</x:v>
      </x:c>
      <x:c r="AC18" s="68" t="n">
        <x:v>0.26170000000000004</x:v>
      </x:c>
      <x:c r="AD18" s="60" t="str">
        <x:v>行业地位 100、成长稳定 100</x:v>
      </x:c>
      <x:c r="AE18" s="60" t="str">
        <x:v>稳健性 43、现金流 66</x:v>
      </x:c>
    </x:row>
    <x:row r="19" ht="39.599998474121094" hidden="0" customHeight="1">
      <x:c r="A19" s="60" t="str">
        <x:v>历史深度低估</x:v>
      </x:c>
      <x:c r="B19" s="66" t="str">
        <x:v>605499.SH</x:v>
      </x:c>
      <x:c r="C19" s="60" t="str">
        <x:v>东鹏饮料</x:v>
      </x:c>
      <x:c r="D19" s="60" t="str">
        <x:v>食品饮料</x:v>
      </x:c>
      <x:c r="E19" s="60" t="str">
        <x:v>饮料乳品</x:v>
      </x:c>
      <x:c r="F19" s="60" t="str">
        <x:v>软饮料</x:v>
      </x:c>
      <x:c r="G19" s="61" t="n">
        <x:v>1</x:v>
      </x:c>
      <x:c r="H19" s="67" t="n">
        <x:v>82.25</x:v>
      </x:c>
      <x:c r="I19" s="68" t="n">
        <x:v>1</x:v>
      </x:c>
      <x:c r="J19" s="69" t="str">
        <x:v>历史极低位</x:v>
      </x:c>
      <x:c r="K19" s="69" t="str">
        <x:v>完整</x:v>
      </x:c>
      <x:c r="L19" s="69" t="str">
        <x:v>2026-08-19</x:v>
      </x:c>
      <x:c r="M19" s="69" t="str">
        <x:v>2026-08-24</x:v>
      </x:c>
      <x:c r="N19" s="70" t="n">
        <x:v>122.75</x:v>
      </x:c>
      <x:c r="O19" s="70" t="n">
        <x:v>18.365</x:v>
      </x:c>
      <x:c r="P19" s="68" t="n">
        <x:v>0.0051</x:v>
      </x:c>
      <x:c r="Q19" s="70" t="n">
        <x:v>4.6275</x:v>
      </x:c>
      <x:c r="R19" s="68" t="n">
        <x:v>0.024</x:v>
      </x:c>
      <x:c r="S19" s="68" t="n">
        <x:v>0.040733</x:v>
      </x:c>
      <x:c r="T19" s="68" t="n">
        <x:v>0.0125</x:v>
      </x:c>
      <x:c r="U19" s="68" t="n">
        <x:v>0.0139</x:v>
      </x:c>
      <x:c r="V19" s="71" t="n">
        <x:v>888.31</x:v>
      </x:c>
      <x:c r="W19" s="71" t="n">
        <x:v>40.31305216</x:v>
      </x:c>
      <x:c r="X19" s="71" t="n">
        <x:v>6.5433984</x:v>
      </x:c>
      <x:c r="Y19" s="68" t="n">
        <x:v>0.5161</x:v>
      </x:c>
      <x:c r="Z19" s="68" t="n">
        <x:v>0.44909999999999994</x:v>
      </x:c>
      <x:c r="AA19" s="68" t="n">
        <x:v>0.2114</x:v>
      </x:c>
      <x:c r="AB19" s="68" t="n">
        <x:v>4.6483584798993745</x:v>
      </x:c>
      <x:c r="AC19" s="68" t="n">
        <x:v>0.6473</x:v>
      </x:c>
      <x:c r="AD19" s="60" t="str">
        <x:v>行业地位 100、盈利能力 96</x:v>
      </x:c>
      <x:c r="AE19" s="60" t="str">
        <x:v>稳健性 20、同行估值 71</x:v>
      </x:c>
    </x:row>
    <x:row r="20" ht="39.599998474121094" hidden="0" customHeight="1">
      <x:c r="A20" s="60" t="str">
        <x:v>历史深度低估</x:v>
      </x:c>
      <x:c r="B20" s="66" t="str">
        <x:v>603195.SH</x:v>
      </x:c>
      <x:c r="C20" s="60" t="str">
        <x:v>公牛集团</x:v>
      </x:c>
      <x:c r="D20" s="60" t="str">
        <x:v>轻工制造</x:v>
      </x:c>
      <x:c r="E20" s="60" t="str">
        <x:v>家居用品</x:v>
      </x:c>
      <x:c r="F20" s="60" t="str">
        <x:v>其他家居</x:v>
      </x:c>
      <x:c r="G20" s="61" t="n">
        <x:v>2</x:v>
      </x:c>
      <x:c r="H20" s="67" t="n">
        <x:v>81.9678</x:v>
      </x:c>
      <x:c r="I20" s="68" t="n">
        <x:v>1</x:v>
      </x:c>
      <x:c r="J20" s="69" t="str">
        <x:v>历史极低位</x:v>
      </x:c>
      <x:c r="K20" s="69" t="str">
        <x:v>完整</x:v>
      </x:c>
      <x:c r="L20" s="69" t="str">
        <x:v>2026-08-19</x:v>
      </x:c>
      <x:c r="M20" s="69" t="str">
        <x:v>2026-08-24</x:v>
      </x:c>
      <x:c r="N20" s="70" t="n">
        <x:v>39.01</x:v>
      </x:c>
      <x:c r="O20" s="70" t="n">
        <x:v>16.9362</x:v>
      </x:c>
      <x:c r="P20" s="68" t="n">
        <x:v>0.018500000000000003</x:v>
      </x:c>
      <x:c r="Q20" s="70" t="n">
        <x:v>3.9488</x:v>
      </x:c>
      <x:c r="R20" s="68" t="n">
        <x:v>0.018500000000000003</x:v>
      </x:c>
      <x:c r="S20" s="68" t="n">
        <x:v>0.048705</x:v>
      </x:c>
      <x:c r="T20" s="68" t="n">
        <x:v>0.21239999999999998</x:v>
      </x:c>
      <x:c r="U20" s="68" t="n">
        <x:v>0.08310000000000001</x:v>
      </x:c>
      <x:c r="V20" s="71" t="n">
        <x:v>718.49</x:v>
      </x:c>
      <x:c r="W20" s="71" t="n">
        <x:v>38.28630528</x:v>
      </x:c>
      <x:c r="X20" s="71" t="n">
        <x:v>10.91809664</x:v>
      </x:c>
      <x:c r="Y20" s="68" t="n">
        <x:v>0.2491</x:v>
      </x:c>
      <x:c r="Z20" s="68" t="n">
        <x:v>0.4314</x:v>
      </x:c>
      <x:c r="AA20" s="68" t="n">
        <x:v>0.2544</x:v>
      </x:c>
      <x:c r="AB20" s="68" t="n">
        <x:v>1.0278398121964232</x:v>
      </x:c>
      <x:c r="AC20" s="68" t="n">
        <x:v>0.2548</x:v>
      </x:c>
      <x:c r="AD20" s="60" t="str">
        <x:v>行业地位 100、盈利能力 96</x:v>
      </x:c>
      <x:c r="AE20" s="60" t="str">
        <x:v>稳健性 50、现金流 68</x:v>
      </x:c>
    </x:row>
    <x:row r="21" ht="39.599998474121094" hidden="0" customHeight="1">
      <x:c r="A21" s="60" t="str">
        <x:v>历史深度低估</x:v>
      </x:c>
      <x:c r="B21" s="66" t="str">
        <x:v>600210.SH</x:v>
      </x:c>
      <x:c r="C21" s="60" t="str">
        <x:v>紫江企业</x:v>
      </x:c>
      <x:c r="D21" s="60" t="str">
        <x:v>轻工制造</x:v>
      </x:c>
      <x:c r="E21" s="60" t="str">
        <x:v>包装印刷</x:v>
      </x:c>
      <x:c r="F21" s="60" t="str">
        <x:v>塑料包装</x:v>
      </x:c>
      <x:c r="G21" s="61" t="n">
        <x:v>1</x:v>
      </x:c>
      <x:c r="H21" s="67" t="n">
        <x:v>81.8643</x:v>
      </x:c>
      <x:c r="I21" s="68" t="n">
        <x:v>1</x:v>
      </x:c>
      <x:c r="J21" s="69" t="str">
        <x:v>历史极低位</x:v>
      </x:c>
      <x:c r="K21" s="69" t="str">
        <x:v>完整</x:v>
      </x:c>
      <x:c r="L21" s="69" t="str">
        <x:v>2026-08-19</x:v>
      </x:c>
      <x:c r="M21" s="69" t="str">
        <x:v>2026-08-24</x:v>
      </x:c>
      <x:c r="N21" s="70" t="n">
        <x:v>5.96</x:v>
      </x:c>
      <x:c r="O21" s="70" t="n">
        <x:v>8.3208</x:v>
      </x:c>
      <x:c r="P21" s="68" t="n">
        <x:v>0.0051</x:v>
      </x:c>
      <x:c r="Q21" s="70" t="n">
        <x:v>1.3081</x:v>
      </x:c>
      <x:c r="R21" s="68" t="n">
        <x:v>0.0931</x:v>
      </x:c>
      <x:c r="S21" s="68" t="n">
        <x:v>0.058725</x:v>
      </x:c>
      <x:c r="T21" s="68" t="n">
        <x:v>0.0304</x:v>
      </x:c>
      <x:c r="U21" s="68" t="n">
        <x:v>0.0429</x:v>
      </x:c>
      <x:c r="V21" s="71" t="n">
        <x:v>91.61</x:v>
      </x:c>
      <x:c r="W21" s="71" t="n">
        <x:v>17.8208704</x:v>
      </x:c>
      <x:c r="X21" s="71" t="n">
        <x:v>0.71595992</x:v>
      </x:c>
      <x:c r="Y21" s="68" t="n">
        <x:v>0.1625</x:v>
      </x:c>
      <x:c r="Z21" s="68" t="n">
        <x:v>0.2321</x:v>
      </x:c>
      <x:c r="AA21" s="68" t="n">
        <x:v>0.1114</x:v>
      </x:c>
      <x:c r="AB21" s="68" t="n">
        <x:v>4.206981418736401</x:v>
      </x:c>
      <x:c r="AC21" s="68" t="n">
        <x:v>0.47409999999999997</x:v>
      </x:c>
      <x:c r="AD21" s="60" t="str">
        <x:v>同行估值 100、行业地位 91</x:v>
      </x:c>
      <x:c r="AE21" s="60" t="str">
        <x:v>稳健性 54、成长稳定 71</x:v>
      </x:c>
    </x:row>
    <x:row r="22" ht="39.599998474121094" hidden="0" customHeight="1">
      <x:c r="A22" s="60" t="str">
        <x:v>历史深度低估</x:v>
      </x:c>
      <x:c r="B22" s="66" t="str">
        <x:v>603515.SH</x:v>
      </x:c>
      <x:c r="C22" s="60" t="str">
        <x:v>欧普照明</x:v>
      </x:c>
      <x:c r="D22" s="60" t="str">
        <x:v>电子</x:v>
      </x:c>
      <x:c r="E22" s="60" t="str">
        <x:v>光学光电</x:v>
      </x:c>
      <x:c r="F22" s="60" t="str">
        <x:v>LED</x:v>
      </x:c>
      <x:c r="G22" s="61" t="n">
        <x:v>1</x:v>
      </x:c>
      <x:c r="H22" s="67" t="n">
        <x:v>81.8375</x:v>
      </x:c>
      <x:c r="I22" s="68" t="n">
        <x:v>1</x:v>
      </x:c>
      <x:c r="J22" s="69" t="str">
        <x:v>历史极低位</x:v>
      </x:c>
      <x:c r="K22" s="69" t="str">
        <x:v>完整</x:v>
      </x:c>
      <x:c r="L22" s="69" t="str">
        <x:v>2026-08-19</x:v>
      </x:c>
      <x:c r="M22" s="69" t="str">
        <x:v>2026-08-24</x:v>
      </x:c>
      <x:c r="N22" s="70" t="n">
        <x:v>16.33</x:v>
      </x:c>
      <x:c r="O22" s="70" t="n">
        <x:v>13.315</x:v>
      </x:c>
      <x:c r="P22" s="68" t="n">
        <x:v>0.1057</x:v>
      </x:c>
      <x:c r="Q22" s="70" t="n">
        <x:v>1.6966</x:v>
      </x:c>
      <x:c r="R22" s="68" t="n">
        <x:v>0.012199999999999999</x:v>
      </x:c>
      <x:c r="S22" s="68" t="n">
        <x:v>0.052051</x:v>
      </x:c>
      <x:c r="T22" s="68" t="n">
        <x:v>0.0901</x:v>
      </x:c>
      <x:c r="U22" s="68" t="n">
        <x:v>0.0693</x:v>
      </x:c>
      <x:c r="V22" s="71" t="n">
        <x:v>123</x:v>
      </x:c>
      <x:c r="W22" s="71" t="n">
        <x:v>20.62439808</x:v>
      </x:c>
      <x:c r="X22" s="71" t="n">
        <x:v>3.43718528</x:v>
      </x:c>
      <x:c r="Y22" s="68" t="n">
        <x:v>0.1362</x:v>
      </x:c>
      <x:c r="Z22" s="68" t="n">
        <x:v>0.3933</x:v>
      </x:c>
      <x:c r="AA22" s="68" t="n">
        <x:v>0.1324</x:v>
      </x:c>
      <x:c r="AB22" s="68" t="n">
        <x:v>1.4770437280587911</x:v>
      </x:c>
      <x:c r="AC22" s="68" t="n">
        <x:v>0.2707</x:v>
      </x:c>
      <x:c r="AD22" s="60" t="str">
        <x:v>盈利能力 99、同行估值 94</x:v>
      </x:c>
      <x:c r="AE22" s="60" t="str">
        <x:v>成长稳定 46、现金流 72</x:v>
      </x:c>
    </x:row>
    <x:row r="23" ht="39.599998474121094" hidden="0" customHeight="1">
      <x:c r="A23" s="60" t="str">
        <x:v>历史深度低估</x:v>
      </x:c>
      <x:c r="B23" s="66" t="str">
        <x:v>300627.SZ</x:v>
      </x:c>
      <x:c r="C23" s="60" t="str">
        <x:v>华测导航</x:v>
      </x:c>
      <x:c r="D23" s="60" t="str">
        <x:v>通信</x:v>
      </x:c>
      <x:c r="E23" s="60" t="str">
        <x:v>通信设备</x:v>
      </x:c>
      <x:c r="F23" s="60" t="str">
        <x:v>其他通信设备</x:v>
      </x:c>
      <x:c r="G23" s="61" t="n">
        <x:v>1</x:v>
      </x:c>
      <x:c r="H23" s="67" t="n">
        <x:v>81.7978</x:v>
      </x:c>
      <x:c r="I23" s="68" t="n">
        <x:v>1</x:v>
      </x:c>
      <x:c r="J23" s="69" t="str">
        <x:v>历史极低位</x:v>
      </x:c>
      <x:c r="K23" s="69" t="str">
        <x:v>完整</x:v>
      </x:c>
      <x:c r="L23" s="69" t="str">
        <x:v>2026-08-19</x:v>
      </x:c>
      <x:c r="M23" s="69" t="str">
        <x:v>2026-08-24</x:v>
      </x:c>
      <x:c r="N23" s="70" t="n">
        <x:v>27.61</x:v>
      </x:c>
      <x:c r="O23" s="70" t="n">
        <x:v>32.8131</x:v>
      </x:c>
      <x:c r="P23" s="68" t="n">
        <x:v>0.0731</x:v>
      </x:c>
      <x:c r="Q23" s="70" t="n">
        <x:v>5.0175</x:v>
      </x:c>
      <x:c r="R23" s="68" t="n">
        <x:v>0.0805</x:v>
      </x:c>
      <x:c r="S23" s="68" t="n">
        <x:v>0.016298</x:v>
      </x:c>
      <x:c r="T23" s="68" t="n">
        <x:v>0.0415</x:v>
      </x:c>
      <x:c r="U23" s="68" t="n">
        <x:v>0.065</x:v>
      </x:c>
      <x:c r="V23" s="71" t="n">
        <x:v>214.21</x:v>
      </x:c>
      <x:c r="W23" s="71" t="n">
        <x:v>10.80875008</x:v>
      </x:c>
      <x:c r="X23" s="71" t="n">
        <x:v>1.928148</x:v>
      </x:c>
      <x:c r="Y23" s="68" t="n">
        <x:v>0.1771</x:v>
      </x:c>
      <x:c r="Z23" s="68" t="n">
        <x:v>0.6098</x:v>
      </x:c>
      <x:c r="AA23" s="68" t="n">
        <x:v>0.1848</x:v>
      </x:c>
      <x:c r="AB23" s="68" t="n">
        <x:v>3.356430149552835</x:v>
      </x:c>
      <x:c r="AC23" s="68" t="n">
        <x:v>0.3055</x:v>
      </x:c>
      <x:c r="AD23" s="60" t="str">
        <x:v>行业地位 92、盈利能力 91</x:v>
      </x:c>
      <x:c r="AE23" s="60" t="str">
        <x:v>稳健性 47、同行估值 73</x:v>
      </x:c>
    </x:row>
    <x:row r="24" ht="39.599998474121094" hidden="0" customHeight="1">
      <x:c r="A24" s="60" t="str">
        <x:v>历史深度低估</x:v>
      </x:c>
      <x:c r="B24" s="66" t="str">
        <x:v>000915.SZ</x:v>
      </x:c>
      <x:c r="C24" s="60" t="str">
        <x:v>华特达因</x:v>
      </x:c>
      <x:c r="D24" s="60" t="str">
        <x:v>医药医疗</x:v>
      </x:c>
      <x:c r="E24" s="60" t="str">
        <x:v>化学制药</x:v>
      </x:c>
      <x:c r="F24" s="60" t="str">
        <x:v>化学制剂</x:v>
      </x:c>
      <x:c r="G24" s="61" t="n">
        <x:v>1</x:v>
      </x:c>
      <x:c r="H24" s="67" t="n">
        <x:v>81.3593</x:v>
      </x:c>
      <x:c r="I24" s="68" t="n">
        <x:v>1</x:v>
      </x:c>
      <x:c r="J24" s="69" t="str">
        <x:v>历史极低位</x:v>
      </x:c>
      <x:c r="K24" s="69" t="str">
        <x:v>完整</x:v>
      </x:c>
      <x:c r="L24" s="69" t="str">
        <x:v>2026-08-19</x:v>
      </x:c>
      <x:c r="M24" s="69" t="str">
        <x:v>2026-08-24</x:v>
      </x:c>
      <x:c r="N24" s="70" t="n">
        <x:v>25.81</x:v>
      </x:c>
      <x:c r="O24" s="70" t="n">
        <x:v>13.054</x:v>
      </x:c>
      <x:c r="P24" s="68" t="n">
        <x:v>0.1822</x:v>
      </x:c>
      <x:c r="Q24" s="70" t="n">
        <x:v>2.0354</x:v>
      </x:c>
      <x:c r="R24" s="68" t="n">
        <x:v>0.0245</x:v>
      </x:c>
      <x:c r="S24" s="68" t="n">
        <x:v>0.09686199999999999</x:v>
      </x:c>
      <x:c r="T24" s="68" t="n">
        <x:v>0.0379</x:v>
      </x:c>
      <x:c r="U24" s="68" t="n">
        <x:v>0.0815</x:v>
      </x:c>
      <x:c r="V24" s="71" t="n">
        <x:v>55.77</x:v>
      </x:c>
      <x:c r="W24" s="71" t="n">
        <x:v>6.25791552</x:v>
      </x:c>
      <x:c r="X24" s="71" t="n">
        <x:v>1.27016672</x:v>
      </x:c>
      <x:c r="Y24" s="68" t="n">
        <x:v>0.18289999999999998</x:v>
      </x:c>
      <x:c r="Z24" s="68" t="n">
        <x:v>0.8511</x:v>
      </x:c>
      <x:c r="AA24" s="68" t="n">
        <x:v>0.46159999999999995</x:v>
      </x:c>
      <x:c r="AB24" s="68" t="n">
        <x:v>2.492078772147329</x:v>
      </x:c>
      <x:c r="AC24" s="68" t="n">
        <x:v>0.1295</x:v>
      </x:c>
      <x:c r="AD24" s="60" t="str">
        <x:v>盈利能力 97、稳健性 89</x:v>
      </x:c>
      <x:c r="AE24" s="60" t="str">
        <x:v>行业地位 64、成长稳定 78</x:v>
      </x:c>
    </x:row>
    <x:row r="25" ht="52.79999923706055" hidden="0" customHeight="1">
      <x:c r="A25" s="60" t="str">
        <x:v>历史深度低估</x:v>
      </x:c>
      <x:c r="B25" s="66" t="str">
        <x:v>600335.SH</x:v>
      </x:c>
      <x:c r="C25" s="60" t="str">
        <x:v>国机汽车</x:v>
      </x:c>
      <x:c r="D25" s="60" t="str">
        <x:v>汽车</x:v>
      </x:c>
      <x:c r="E25" s="60" t="str">
        <x:v>汽车服务</x:v>
      </x:c>
      <x:c r="F25" s="60" t="str">
        <x:v>汽车经销商</x:v>
      </x:c>
      <x:c r="G25" s="61" t="n">
        <x:v>1</x:v>
      </x:c>
      <x:c r="H25" s="67" t="n">
        <x:v>81.2917</x:v>
      </x:c>
      <x:c r="I25" s="68" t="n">
        <x:v>1</x:v>
      </x:c>
      <x:c r="J25" s="69" t="str">
        <x:v>历史极低位</x:v>
      </x:c>
      <x:c r="K25" s="69" t="str">
        <x:v>完整</x:v>
      </x:c>
      <x:c r="L25" s="69" t="str">
        <x:v>2026-08-19</x:v>
      </x:c>
      <x:c r="M25" s="69" t="str">
        <x:v>2026-08-24</x:v>
      </x:c>
      <x:c r="N25" s="70" t="n">
        <x:v>4.99</x:v>
      </x:c>
      <x:c r="O25" s="70" t="n">
        <x:v>17.9441</x:v>
      </x:c>
      <x:c r="P25" s="68" t="n">
        <x:v>0.042</x:v>
      </x:c>
      <x:c r="Q25" s="70" t="n">
        <x:v>0.6359</x:v>
      </x:c>
      <x:c r="R25" s="68" t="n">
        <x:v>0.012199999999999999</x:v>
      </x:c>
      <x:c r="S25" s="68" t="n">
        <x:v>0.022445</x:v>
      </x:c>
      <x:c r="T25" s="68" t="n">
        <x:v>0.050199999999999995</x:v>
      </x:c>
      <x:c r="U25" s="68" t="n">
        <x:v>0.0348</x:v>
      </x:c>
      <x:c r="V25" s="71" t="n">
        <x:v>74.97</x:v>
      </x:c>
      <x:c r="W25" s="71" t="n">
        <x:v>101.76769024</x:v>
      </x:c>
      <x:c r="X25" s="71" t="n">
        <x:v>0.6036496</x:v>
      </x:c>
      <x:c r="Y25" s="68" t="n">
        <x:v>0.0365</x:v>
      </x:c>
      <x:c r="Z25" s="68" t="n">
        <x:v>0.0814</x:v>
      </x:c>
      <x:c r="AA25" s="68" t="n">
        <x:v>0.012199999999999999</x:v>
      </x:c>
      <x:c r="AB25" s="68" t="n">
        <x:v>39.54715980926683</x:v>
      </x:c>
      <x:c r="AC25" s="68" t="n">
        <x:v>0.6811</x:v>
      </x:c>
      <x:c r="AD25" s="60" t="str">
        <x:v>同行估值 100、行业地位 100</x:v>
      </x:c>
      <x:c r="AE25" s="60" t="str">
        <x:v>稳健性 47、成长稳定 50</x:v>
      </x:c>
    </x:row>
    <x:row r="26" ht="39.599998474121094" hidden="0" customHeight="1">
      <x:c r="A26" s="60" t="str">
        <x:v>历史深度低估</x:v>
      </x:c>
      <x:c r="B26" s="66" t="str">
        <x:v>688188.SH</x:v>
      </x:c>
      <x:c r="C26" s="60" t="str">
        <x:v>柏楚电子</x:v>
      </x:c>
      <x:c r="D26" s="60" t="str">
        <x:v>机械设备</x:v>
      </x:c>
      <x:c r="E26" s="60" t="str">
        <x:v>自动化设备</x:v>
      </x:c>
      <x:c r="F26" s="60" t="str">
        <x:v>工业控制设备</x:v>
      </x:c>
      <x:c r="G26" s="61" t="n">
        <x:v>1</x:v>
      </x:c>
      <x:c r="H26" s="67" t="n">
        <x:v>81.1269</x:v>
      </x:c>
      <x:c r="I26" s="68" t="n">
        <x:v>1</x:v>
      </x:c>
      <x:c r="J26" s="69" t="str">
        <x:v>历史极低位</x:v>
      </x:c>
      <x:c r="K26" s="69" t="str">
        <x:v>完整</x:v>
      </x:c>
      <x:c r="L26" s="69" t="str">
        <x:v>2026-08-19</x:v>
      </x:c>
      <x:c r="M26" s="69" t="str">
        <x:v>2026-08-24</x:v>
      </x:c>
      <x:c r="N26" s="70" t="n">
        <x:v>102.4</x:v>
      </x:c>
      <x:c r="O26" s="70" t="n">
        <x:v>35.3879</x:v>
      </x:c>
      <x:c r="P26" s="68" t="n">
        <x:v>0.0208</x:v>
      </x:c>
      <x:c r="Q26" s="70" t="n">
        <x:v>6.4984</x:v>
      </x:c>
      <x:c r="R26" s="68" t="n">
        <x:v>0.1222</x:v>
      </x:c>
      <x:c r="S26" s="68" t="n">
        <x:v>0.025332</x:v>
      </x:c>
      <x:c r="T26" s="68" t="n">
        <x:v>0.015600000000000001</x:v>
      </x:c>
      <x:c r="U26" s="68" t="n">
        <x:v>0.0529</x:v>
      </x:c>
      <x:c r="V26" s="71" t="n">
        <x:v>399.68</x:v>
      </x:c>
      <x:c r="W26" s="71" t="n">
        <x:v>5.7603584</x:v>
      </x:c>
      <x:c r="X26" s="71" t="n">
        <x:v>2.08235184</x:v>
      </x:c>
      <x:c r="Y26" s="68" t="n">
        <x:v>0.19260000000000002</x:v>
      </x:c>
      <x:c r="Z26" s="68" t="n">
        <x:v>0.7766</x:v>
      </x:c>
      <x:c r="AA26" s="68" t="n">
        <x:v>0.5149</x:v>
      </x:c>
      <x:c r="AB26" s="68" t="n">
        <x:v>1.5353473791441508</x:v>
      </x:c>
      <x:c r="AC26" s="68" t="n">
        <x:v>0.0745</x:v>
      </x:c>
      <x:c r="AD26" s="60" t="str">
        <x:v>盈利能力 99、成长稳定 88</x:v>
      </x:c>
      <x:c r="AE26" s="60" t="str">
        <x:v>稳健性 57、同行估值 66</x:v>
      </x:c>
    </x:row>
    <x:row r="27" ht="39.599998474121094" hidden="0" customHeight="1">
      <x:c r="A27" s="60" t="str">
        <x:v>历史深度低估</x:v>
      </x:c>
      <x:c r="B27" s="66" t="str">
        <x:v>688155.SH</x:v>
      </x:c>
      <x:c r="C27" s="60" t="str">
        <x:v>先惠技术</x:v>
      </x:c>
      <x:c r="D27" s="60" t="str">
        <x:v>电力设备</x:v>
      </x:c>
      <x:c r="E27" s="60" t="str">
        <x:v>电池</x:v>
      </x:c>
      <x:c r="F27" s="60" t="str">
        <x:v>锂电设备</x:v>
      </x:c>
      <x:c r="G27" s="61" t="n">
        <x:v>1</x:v>
      </x:c>
      <x:c r="H27" s="67" t="n">
        <x:v>81.125</x:v>
      </x:c>
      <x:c r="I27" s="68" t="n">
        <x:v>1</x:v>
      </x:c>
      <x:c r="J27" s="69" t="str">
        <x:v>历史极低位</x:v>
      </x:c>
      <x:c r="K27" s="69" t="str">
        <x:v>完整</x:v>
      </x:c>
      <x:c r="L27" s="69" t="str">
        <x:v>2026-08-19</x:v>
      </x:c>
      <x:c r="M27" s="69" t="str">
        <x:v>2026-08-24</x:v>
      </x:c>
      <x:c r="N27" s="70" t="n">
        <x:v>57.73</x:v>
      </x:c>
      <x:c r="O27" s="70" t="n">
        <x:v>16.4865</x:v>
      </x:c>
      <x:c r="P27" s="68" t="n">
        <x:v>0.0109</x:v>
      </x:c>
      <x:c r="Q27" s="70" t="n">
        <x:v>2.9947</x:v>
      </x:c>
      <x:c r="R27" s="68" t="n">
        <x:v>0.1685</x:v>
      </x:c>
      <x:c r="S27" s="68" t="n">
        <x:v>0.017322</x:v>
      </x:c>
      <x:c r="T27" s="68" t="n">
        <x:v>0.0246</x:v>
      </x:c>
      <x:c r="U27" s="68" t="n">
        <x:v>0.068</x:v>
      </x:c>
      <x:c r="V27" s="71" t="n">
        <x:v>76.42</x:v>
      </x:c>
      <x:c r="W27" s="71" t="n">
        <x:v>11.03454976</x:v>
      </x:c>
      <x:c r="X27" s="71" t="n">
        <x:v>1.45385216</x:v>
      </x:c>
      <x:c r="Y27" s="68" t="n">
        <x:v>0.1653</x:v>
      </x:c>
      <x:c r="Z27" s="68" t="n">
        <x:v>0.2842</x:v>
      </x:c>
      <x:c r="AA27" s="68" t="n">
        <x:v>0.1567</x:v>
      </x:c>
      <x:c r="AB27" s="68" t="n">
        <x:v>3.2098484621710086</x:v>
      </x:c>
      <x:c r="AC27" s="68" t="n">
        <x:v>0.5767</x:v>
      </x:c>
      <x:c r="AD27" s="60" t="str">
        <x:v>成长稳定 90、现金流 89</x:v>
      </x:c>
      <x:c r="AE27" s="60" t="str">
        <x:v>稳健性 47、行业地位 80</x:v>
      </x:c>
    </x:row>
    <x:row r="28" ht="39.599998474121094" hidden="0" customHeight="1">
      <x:c r="A28" s="60" t="str">
        <x:v>历史深度低估</x:v>
      </x:c>
      <x:c r="B28" s="66" t="str">
        <x:v>002340.SZ</x:v>
      </x:c>
      <x:c r="C28" s="60" t="str">
        <x:v>格林美</x:v>
      </x:c>
      <x:c r="D28" s="60" t="str">
        <x:v>电力设备</x:v>
      </x:c>
      <x:c r="E28" s="60" t="str">
        <x:v>电池</x:v>
      </x:c>
      <x:c r="F28" s="60" t="str">
        <x:v>电池化学品</x:v>
      </x:c>
      <x:c r="G28" s="61" t="n">
        <x:v>1</x:v>
      </x:c>
      <x:c r="H28" s="67" t="n">
        <x:v>80.8435</x:v>
      </x:c>
      <x:c r="I28" s="68" t="n">
        <x:v>1</x:v>
      </x:c>
      <x:c r="J28" s="69" t="str">
        <x:v>历史极低位</x:v>
      </x:c>
      <x:c r="K28" s="69" t="str">
        <x:v>完整</x:v>
      </x:c>
      <x:c r="L28" s="69" t="str">
        <x:v>2026-08-19</x:v>
      </x:c>
      <x:c r="M28" s="69" t="str">
        <x:v>2026-08-24</x:v>
      </x:c>
      <x:c r="N28" s="70" t="n">
        <x:v>6.44</x:v>
      </x:c>
      <x:c r="O28" s="70" t="n">
        <x:v>20.6467</x:v>
      </x:c>
      <x:c r="P28" s="68" t="n">
        <x:v>0.0053</x:v>
      </x:c>
      <x:c r="Q28" s="70" t="n">
        <x:v>1.5059</x:v>
      </x:c>
      <x:c r="R28" s="68" t="n">
        <x:v>0.0617</x:v>
      </x:c>
      <x:c r="S28" s="68" t="n">
        <x:v>0.014752000000000001</x:v>
      </x:c>
      <x:c r="T28" s="68" t="n">
        <x:v>0.011200000000000002</x:v>
      </x:c>
      <x:c r="U28" s="68" t="n">
        <x:v>0.026099999999999998</x:v>
      </x:c>
      <x:c r="V28" s="71" t="n">
        <x:v>333.18</x:v>
      </x:c>
      <x:c r="W28" s="71" t="n">
        <x:v>96.25888768</x:v>
      </x:c>
      <x:c r="X28" s="71" t="n">
        <x:v>4.715832</x:v>
      </x:c>
      <x:c r="Y28" s="68" t="n">
        <x:v>0.0791</x:v>
      </x:c>
      <x:c r="Z28" s="68" t="n">
        <x:v>0.1471</x:v>
      </x:c>
      <x:c r="AA28" s="68" t="n">
        <x:v>0.0464</x:v>
      </x:c>
      <x:c r="AB28" s="68" t="n">
        <x:v>3.24697517638457</x:v>
      </x:c>
      <x:c r="AC28" s="68" t="n">
        <x:v>0.6579999999999999</x:v>
      </x:c>
      <x:c r="AD28" s="60" t="str">
        <x:v>行业地位 89、同行估值 89</x:v>
      </x:c>
      <x:c r="AE28" s="60" t="str">
        <x:v>稳健性 64、盈利能力 71</x:v>
      </x:c>
    </x:row>
    <x:row r="29" ht="39.599998474121094" hidden="0" customHeight="1">
      <x:c r="A29" s="60" t="str">
        <x:v>历史深度低估</x:v>
      </x:c>
      <x:c r="B29" s="66" t="str">
        <x:v>300360.SZ</x:v>
      </x:c>
      <x:c r="C29" s="60" t="str">
        <x:v>炬华科技</x:v>
      </x:c>
      <x:c r="D29" s="60" t="str">
        <x:v>电力设备</x:v>
      </x:c>
      <x:c r="E29" s="60" t="str">
        <x:v>电网设备</x:v>
      </x:c>
      <x:c r="F29" s="60" t="str">
        <x:v>电工仪器</x:v>
      </x:c>
      <x:c r="G29" s="61" t="n">
        <x:v>1</x:v>
      </x:c>
      <x:c r="H29" s="67" t="n">
        <x:v>80.4189</x:v>
      </x:c>
      <x:c r="I29" s="68" t="n">
        <x:v>1</x:v>
      </x:c>
      <x:c r="J29" s="69" t="str">
        <x:v>历史极低位</x:v>
      </x:c>
      <x:c r="K29" s="69" t="str">
        <x:v>完整</x:v>
      </x:c>
      <x:c r="L29" s="69" t="str">
        <x:v>2026-08-19</x:v>
      </x:c>
      <x:c r="M29" s="69" t="str">
        <x:v>2026-08-24</x:v>
      </x:c>
      <x:c r="N29" s="70" t="n">
        <x:v>11.73</x:v>
      </x:c>
      <x:c r="O29" s="70" t="n">
        <x:v>12.3792</x:v>
      </x:c>
      <x:c r="P29" s="68" t="n">
        <x:v>0.2761</x:v>
      </x:c>
      <x:c r="Q29" s="70" t="n">
        <x:v>1.4188</x:v>
      </x:c>
      <x:c r="R29" s="68" t="n">
        <x:v>0.0131</x:v>
      </x:c>
      <x:c r="S29" s="68" t="n">
        <x:v>0.051151</x:v>
      </x:c>
      <x:c r="T29" s="68" t="n">
        <x:v>0.0058</x:v>
      </x:c>
      <x:c r="U29" s="68" t="n">
        <x:v>0.0983</x:v>
      </x:c>
      <x:c r="V29" s="71" t="n">
        <x:v>59.7</x:v>
      </x:c>
      <x:c r="W29" s="71" t="n">
        <x:v>4.36756352</x:v>
      </x:c>
      <x:c r="X29" s="71" t="n">
        <x:v>0.871242</x:v>
      </x:c>
      <x:c r="Y29" s="68" t="n">
        <x:v>0.1362</x:v>
      </x:c>
      <x:c r="Z29" s="68" t="n">
        <x:v>0.431</x:v>
      </x:c>
      <x:c r="AA29" s="68" t="n">
        <x:v>0.3431</x:v>
      </x:c>
      <x:c r="AB29" s="68" t="n">
        <x:v>3.00696724905365</x:v>
      </x:c>
      <x:c r="AC29" s="68" t="n">
        <x:v>0.153</x:v>
      </x:c>
      <x:c r="AD29" s="60" t="str">
        <x:v>同行估值 96、盈利能力 92</x:v>
      </x:c>
      <x:c r="AE29" s="60" t="str">
        <x:v>成长稳定 59、稳健性 72</x:v>
      </x:c>
    </x:row>
    <x:row r="30" ht="39.599998474121094" hidden="0" customHeight="1">
      <x:c r="A30" s="60" t="str">
        <x:v>历史深度低估</x:v>
      </x:c>
      <x:c r="B30" s="66" t="str">
        <x:v>601717.SH</x:v>
      </x:c>
      <x:c r="C30" s="60" t="str">
        <x:v>中创智领</x:v>
      </x:c>
      <x:c r="D30" s="60" t="str">
        <x:v>机械设备</x:v>
      </x:c>
      <x:c r="E30" s="60" t="str">
        <x:v>专用设备</x:v>
      </x:c>
      <x:c r="F30" s="60" t="str">
        <x:v>能源及重型设备</x:v>
      </x:c>
      <x:c r="G30" s="61" t="n">
        <x:v>1</x:v>
      </x:c>
      <x:c r="H30" s="67" t="n">
        <x:v>80.0335</x:v>
      </x:c>
      <x:c r="I30" s="68" t="n">
        <x:v>1</x:v>
      </x:c>
      <x:c r="J30" s="69" t="str">
        <x:v>历史极低位</x:v>
      </x:c>
      <x:c r="K30" s="69" t="str">
        <x:v>完整</x:v>
      </x:c>
      <x:c r="L30" s="69" t="str">
        <x:v>2026-08-19</x:v>
      </x:c>
      <x:c r="M30" s="69" t="str">
        <x:v>2026-08-24</x:v>
      </x:c>
      <x:c r="N30" s="70" t="n">
        <x:v>15.14</x:v>
      </x:c>
      <x:c r="O30" s="70" t="n">
        <x:v>6.5982</x:v>
      </x:c>
      <x:c r="P30" s="68" t="n">
        <x:v>0.1386</x:v>
      </x:c>
      <x:c r="Q30" s="70" t="n">
        <x:v>1.0791</x:v>
      </x:c>
      <x:c r="R30" s="68" t="n">
        <x:v>0.1261</x:v>
      </x:c>
      <x:c r="S30" s="68" t="n">
        <x:v>0.082563</x:v>
      </x:c>
      <x:c r="T30" s="68" t="n">
        <x:v>0.025099999999999997</x:v>
      </x:c>
      <x:c r="U30" s="68" t="n">
        <x:v>0.0966</x:v>
      </x:c>
      <x:c r="V30" s="71" t="n">
        <x:v>269.95</x:v>
      </x:c>
      <x:c r="W30" s="71" t="n">
        <x:v>106.08995328</x:v>
      </x:c>
      <x:c r="X30" s="71" t="n">
        <x:v>6.4842176</x:v>
      </x:c>
      <x:c r="Y30" s="68" t="n">
        <x:v>0.1888</x:v>
      </x:c>
      <x:c r="Z30" s="68" t="n">
        <x:v>0.2266</x:v>
      </x:c>
      <x:c r="AA30" s="68" t="n">
        <x:v>0.1054</x:v>
      </x:c>
      <x:c r="AB30" s="68" t="n">
        <x:v>2.3541613902654963</x:v>
      </x:c>
      <x:c r="AC30" s="68" t="n">
        <x:v>0.5147999999999999</x:v>
      </x:c>
      <x:c r="AD30" s="60" t="str">
        <x:v>行业地位 99、同行估值 98</x:v>
      </x:c>
      <x:c r="AE30" s="60" t="str">
        <x:v>现金流 50、稳健性 60</x:v>
      </x:c>
    </x:row>
    <x:row r="31" ht="39.599998474121094" hidden="0" customHeight="1">
      <x:c r="A31" s="60" t="str">
        <x:v>历史深度低估</x:v>
      </x:c>
      <x:c r="B31" s="66" t="str">
        <x:v>600887.SH</x:v>
      </x:c>
      <x:c r="C31" s="60" t="str">
        <x:v>伊利股份</x:v>
      </x:c>
      <x:c r="D31" s="60" t="str">
        <x:v>食品饮料</x:v>
      </x:c>
      <x:c r="E31" s="60" t="str">
        <x:v>饮料乳品</x:v>
      </x:c>
      <x:c r="F31" s="60" t="str">
        <x:v>乳制品</x:v>
      </x:c>
      <x:c r="G31" s="61" t="n">
        <x:v>1</x:v>
      </x:c>
      <x:c r="H31" s="67" t="n">
        <x:v>79.8203</x:v>
      </x:c>
      <x:c r="I31" s="68" t="n">
        <x:v>1</x:v>
      </x:c>
      <x:c r="J31" s="69" t="str">
        <x:v>历史极低位</x:v>
      </x:c>
      <x:c r="K31" s="69" t="str">
        <x:v>完整</x:v>
      </x:c>
      <x:c r="L31" s="69" t="str">
        <x:v>2026-08-19</x:v>
      </x:c>
      <x:c r="M31" s="69" t="str">
        <x:v>2026-08-24</x:v>
      </x:c>
      <x:c r="N31" s="70" t="n">
        <x:v>25.23</x:v>
      </x:c>
      <x:c r="O31" s="70" t="n">
        <x:v>13.2048</x:v>
      </x:c>
      <x:c r="P31" s="68" t="n">
        <x:v>0.0723</x:v>
      </x:c>
      <x:c r="Q31" s="70" t="n">
        <x:v>2.6782</x:v>
      </x:c>
      <x:c r="R31" s="68" t="n">
        <x:v>0.045599999999999995</x:v>
      </x:c>
      <x:c r="S31" s="68" t="n">
        <x:v>0.054696999999999996</x:v>
      </x:c>
      <x:c r="T31" s="68" t="n">
        <x:v>0.11359999999999999</x:v>
      </x:c>
      <x:c r="U31" s="68" t="n">
        <x:v>0.07719999999999999</x:v>
      </x:c>
      <x:c r="V31" s="71" t="n">
        <x:v>1634.47</x:v>
      </x:c>
      <x:c r="W31" s="71" t="n">
        <x:v>252.95683584</x:v>
      </x:c>
      <x:c r="X31" s="71" t="n">
        <x:v>11.39063936</x:v>
      </x:c>
      <x:c r="Y31" s="68" t="n">
        <x:v>0.2087</x:v>
      </x:c>
      <x:c r="Z31" s="68" t="n">
        <x:v>0.3458</x:v>
      </x:c>
      <x:c r="AA31" s="68" t="n">
        <x:v>0.09960000000000001</x:v>
      </x:c>
      <x:c r="AB31" s="68" t="n">
        <x:v>4.3404563938367025</x:v>
      </x:c>
      <x:c r="AC31" s="68" t="n">
        <x:v>0.6151</x:v>
      </x:c>
      <x:c r="AD31" s="60" t="str">
        <x:v>行业地位 100、盈利能力 88</x:v>
      </x:c>
      <x:c r="AE31" s="60" t="str">
        <x:v>稳健性 45、现金流 66</x:v>
      </x:c>
    </x:row>
    <x:row r="32" ht="39.599998474121094" hidden="0" customHeight="1">
      <x:c r="A32" s="60" t="str">
        <x:v>历史深度低估</x:v>
      </x:c>
      <x:c r="B32" s="66" t="str">
        <x:v>603288.SH</x:v>
      </x:c>
      <x:c r="C32" s="60" t="str">
        <x:v>海天味业</x:v>
      </x:c>
      <x:c r="D32" s="60" t="str">
        <x:v>食品饮料</x:v>
      </x:c>
      <x:c r="E32" s="60" t="str">
        <x:v>调味品</x:v>
      </x:c>
      <x:c r="F32" s="60" t="str">
        <x:v>调味品</x:v>
      </x:c>
      <x:c r="G32" s="61" t="n">
        <x:v>1</x:v>
      </x:c>
      <x:c r="H32" s="67" t="n">
        <x:v>79.658</x:v>
      </x:c>
      <x:c r="I32" s="68" t="n">
        <x:v>1</x:v>
      </x:c>
      <x:c r="J32" s="69" t="str">
        <x:v>历史极低位</x:v>
      </x:c>
      <x:c r="K32" s="69" t="str">
        <x:v>完整</x:v>
      </x:c>
      <x:c r="L32" s="69" t="str">
        <x:v>2026-08-19</x:v>
      </x:c>
      <x:c r="M32" s="69" t="str">
        <x:v>2026-08-24</x:v>
      </x:c>
      <x:c r="N32" s="70" t="n">
        <x:v>35.32</x:v>
      </x:c>
      <x:c r="O32" s="70" t="n">
        <x:v>28.3879</x:v>
      </x:c>
      <x:c r="P32" s="68" t="n">
        <x:v>0.024700000000000003</x:v>
      </x:c>
      <x:c r="Q32" s="70" t="n">
        <x:v>4.9178</x:v>
      </x:c>
      <x:c r="R32" s="68" t="n">
        <x:v>0.024700000000000003</x:v>
      </x:c>
      <x:c r="S32" s="68" t="n">
        <x:v>0.038505</x:v>
      </x:c>
      <x:c r="T32" s="68" t="n">
        <x:v>0.0405</x:v>
      </x:c>
      <x:c r="U32" s="68" t="n">
        <x:v>0.03</x:v>
      </x:c>
      <x:c r="V32" s="71" t="n">
        <x:v>2087.07</x:v>
      </x:c>
      <x:c r="W32" s="71" t="n">
        <x:v>72.45485056</x:v>
      </x:c>
      <x:c r="X32" s="71" t="n">
        <x:v>17.16257152</x:v>
      </x:c>
      <x:c r="Y32" s="68" t="n">
        <x:v>0.1959</x:v>
      </x:c>
      <x:c r="Z32" s="68" t="n">
        <x:v>0.4022</x:v>
      </x:c>
      <x:c r="AA32" s="68" t="n">
        <x:v>0.244</x:v>
      </x:c>
      <x:c r="AB32" s="68" t="n">
        <x:v>2.678894851300232</x:v>
      </x:c>
      <x:c r="AC32" s="68" t="n">
        <x:v>0.19820000000000002</x:v>
      </x:c>
      <x:c r="AD32" s="60" t="str">
        <x:v>行业地位 100、盈利能力 90</x:v>
      </x:c>
      <x:c r="AE32" s="60" t="str">
        <x:v>同行估值 48、稳健性 54</x:v>
      </x:c>
    </x:row>
    <x:row r="33" ht="39.599998474121094" hidden="0" customHeight="1">
      <x:c r="A33" s="60" t="str">
        <x:v>历史深度低估</x:v>
      </x:c>
      <x:c r="B33" s="66" t="str">
        <x:v>603658.SH</x:v>
      </x:c>
      <x:c r="C33" s="60" t="str">
        <x:v>安图生物</x:v>
      </x:c>
      <x:c r="D33" s="60" t="str">
        <x:v>医药医疗</x:v>
      </x:c>
      <x:c r="E33" s="60" t="str">
        <x:v>生物制品</x:v>
      </x:c>
      <x:c r="F33" s="60" t="str">
        <x:v>诊断试剂</x:v>
      </x:c>
      <x:c r="G33" s="61" t="n">
        <x:v>2</x:v>
      </x:c>
      <x:c r="H33" s="67" t="n">
        <x:v>79.4536</x:v>
      </x:c>
      <x:c r="I33" s="68" t="n">
        <x:v>1</x:v>
      </x:c>
      <x:c r="J33" s="69" t="str">
        <x:v>历史极低位</x:v>
      </x:c>
      <x:c r="K33" s="69" t="str">
        <x:v>完整</x:v>
      </x:c>
      <x:c r="L33" s="69" t="str">
        <x:v>2026-08-19</x:v>
      </x:c>
      <x:c r="M33" s="69" t="str">
        <x:v>2026-08-24</x:v>
      </x:c>
      <x:c r="N33" s="70" t="n">
        <x:v>34</x:v>
      </x:c>
      <x:c r="O33" s="70" t="n">
        <x:v>18.779</x:v>
      </x:c>
      <x:c r="P33" s="68" t="n">
        <x:v>0.1685</x:v>
      </x:c>
      <x:c r="Q33" s="70" t="n">
        <x:v>2.1204</x:v>
      </x:c>
      <x:c r="R33" s="68" t="n">
        <x:v>0.057699999999999994</x:v>
      </x:c>
      <x:c r="S33" s="68" t="n">
        <x:v>0.038529</x:v>
      </x:c>
      <x:c r="T33" s="68" t="n">
        <x:v>0.0508</x:v>
      </x:c>
      <x:c r="U33" s="68" t="n">
        <x:v>0.09230000000000001</x:v>
      </x:c>
      <x:c r="V33" s="71" t="n">
        <x:v>194.74</x:v>
      </x:c>
      <x:c r="W33" s="71" t="n">
        <x:v>10.99257088</x:v>
      </x:c>
      <x:c r="X33" s="71" t="n">
        <x:v>2.08501344</x:v>
      </x:c>
      <x:c r="Y33" s="68" t="n">
        <x:v>0.1225</x:v>
      </x:c>
      <x:c r="Z33" s="68" t="n">
        <x:v>0.6564</x:v>
      </x:c>
      <x:c r="AA33" s="68" t="n">
        <x:v>0.257</x:v>
      </x:c>
      <x:c r="AB33" s="68" t="n">
        <x:v>2.3801282355283044</x:v>
      </x:c>
      <x:c r="AC33" s="68" t="n">
        <x:v>0.2664</x:v>
      </x:c>
      <x:c r="AD33" s="60" t="str">
        <x:v>行业地位 97、盈利能力 85</x:v>
      </x:c>
      <x:c r="AE33" s="60" t="str">
        <x:v>稳健性 36、现金流 72</x:v>
      </x:c>
    </x:row>
    <x:row r="34" ht="39.599998474121094" hidden="0" customHeight="1">
      <x:c r="A34" s="60" t="str">
        <x:v>历史深度低估</x:v>
      </x:c>
      <x:c r="B34" s="66" t="str">
        <x:v>603606.SH</x:v>
      </x:c>
      <x:c r="C34" s="60" t="str">
        <x:v>东方电缆</x:v>
      </x:c>
      <x:c r="D34" s="60" t="str">
        <x:v>电力设备</x:v>
      </x:c>
      <x:c r="E34" s="60" t="str">
        <x:v>电网设备</x:v>
      </x:c>
      <x:c r="F34" s="60" t="str">
        <x:v>线缆部件及其他</x:v>
      </x:c>
      <x:c r="G34" s="61" t="n">
        <x:v>1</x:v>
      </x:c>
      <x:c r="H34" s="67" t="n">
        <x:v>79.112</x:v>
      </x:c>
      <x:c r="I34" s="68" t="n">
        <x:v>1</x:v>
      </x:c>
      <x:c r="J34" s="69" t="str">
        <x:v>历史极低位</x:v>
      </x:c>
      <x:c r="K34" s="69" t="str">
        <x:v>完整</x:v>
      </x:c>
      <x:c r="L34" s="69" t="str">
        <x:v>2026-08-19</x:v>
      </x:c>
      <x:c r="M34" s="69" t="str">
        <x:v>2026-08-24</x:v>
      </x:c>
      <x:c r="N34" s="70" t="n">
        <x:v>37.4</x:v>
      </x:c>
      <x:c r="O34" s="70" t="n">
        <x:v>22.6285</x:v>
      </x:c>
      <x:c r="P34" s="68" t="n">
        <x:v>0.08289999999999999</x:v>
      </x:c>
      <x:c r="Q34" s="70" t="n">
        <x:v>3.6478</x:v>
      </x:c>
      <x:c r="R34" s="68" t="n">
        <x:v>0.0051</x:v>
      </x:c>
      <x:c r="S34" s="68" t="n">
        <x:v>0.014973</x:v>
      </x:c>
      <x:c r="T34" s="68" t="n">
        <x:v>0.0052</x:v>
      </x:c>
      <x:c r="U34" s="68" t="n">
        <x:v>0.0311</x:v>
      </x:c>
      <x:c r="V34" s="71" t="n">
        <x:v>281.67</x:v>
      </x:c>
      <x:c r="W34" s="71" t="n">
        <x:v>33.45233408</x:v>
      </x:c>
      <x:c r="X34" s="71" t="n">
        <x:v>3.57436864</x:v>
      </x:c>
      <x:c r="Y34" s="68" t="n">
        <x:v>0.16829999999999998</x:v>
      </x:c>
      <x:c r="Z34" s="68" t="n">
        <x:v>0.2211</x:v>
      </x:c>
      <x:c r="AA34" s="68" t="n">
        <x:v>0.1173</x:v>
      </x:c>
      <x:c r="AB34" s="68" t="n">
        <x:v>4.592961692949499</x:v>
      </x:c>
      <x:c r="AC34" s="68" t="n">
        <x:v>0.4669</x:v>
      </x:c>
      <x:c r="AD34" s="60" t="str">
        <x:v>行业地位 94、盈利能力 88</x:v>
      </x:c>
      <x:c r="AE34" s="60" t="str">
        <x:v>现金流 65、稳健性 69</x:v>
      </x:c>
    </x:row>
    <x:row r="35" ht="39.599998474121094" hidden="0" customHeight="1">
      <x:c r="A35" s="60" t="str">
        <x:v>历史深度低估</x:v>
      </x:c>
      <x:c r="B35" s="66" t="str">
        <x:v>000848.SZ</x:v>
      </x:c>
      <x:c r="C35" s="60" t="str">
        <x:v>承德露露</x:v>
      </x:c>
      <x:c r="D35" s="60" t="str">
        <x:v>食品饮料</x:v>
      </x:c>
      <x:c r="E35" s="60" t="str">
        <x:v>饮料乳品</x:v>
      </x:c>
      <x:c r="F35" s="60" t="str">
        <x:v>软饮料</x:v>
      </x:c>
      <x:c r="G35" s="61" t="n">
        <x:v>2</x:v>
      </x:c>
      <x:c r="H35" s="67" t="n">
        <x:v>78.7375</x:v>
      </x:c>
      <x:c r="I35" s="68" t="n">
        <x:v>1</x:v>
      </x:c>
      <x:c r="J35" s="69" t="str">
        <x:v>历史极低位</x:v>
      </x:c>
      <x:c r="K35" s="69" t="str">
        <x:v>完整</x:v>
      </x:c>
      <x:c r="L35" s="69" t="str">
        <x:v>2026-08-19</x:v>
      </x:c>
      <x:c r="M35" s="69" t="str">
        <x:v>2026-08-24</x:v>
      </x:c>
      <x:c r="N35" s="70" t="n">
        <x:v>8.36</x:v>
      </x:c>
      <x:c r="O35" s="70" t="n">
        <x:v>12.9183</x:v>
      </x:c>
      <x:c r="P35" s="68" t="n">
        <x:v>0.0911</x:v>
      </x:c>
      <x:c r="Q35" s="70" t="n">
        <x:v>2.2978</x:v>
      </x:c>
      <x:c r="R35" s="68" t="n">
        <x:v>0.0388</x:v>
      </x:c>
      <x:c r="S35" s="68" t="n">
        <x:v>0.059809</x:v>
      </x:c>
      <x:c r="T35" s="68" t="n">
        <x:v>0.0424</x:v>
      </x:c>
      <x:c r="U35" s="68" t="n">
        <x:v>0.0574</x:v>
      </x:c>
      <x:c r="V35" s="71" t="n">
        <x:v>85.99</x:v>
      </x:c>
      <x:c r="W35" s="71" t="n">
        <x:v>12.17641856</x:v>
      </x:c>
      <x:c r="X35" s="71" t="n">
        <x:v>2.43502272</x:v>
      </x:c>
      <x:c r="Y35" s="68" t="n">
        <x:v>0.1778</x:v>
      </x:c>
      <x:c r="Z35" s="68" t="n">
        <x:v>0.4474</x:v>
      </x:c>
      <x:c r="AA35" s="68" t="n">
        <x:v>0.19760000000000003</x:v>
      </x:c>
      <x:c r="AB35" s="68" t="n">
        <x:v>3.1832009846708944</x:v>
      </x:c>
      <x:c r="AC35" s="68" t="n">
        <x:v>0.3428</x:v>
      </x:c>
      <x:c r="AD35" s="60" t="str">
        <x:v>同行估值 92、成长稳定 86</x:v>
      </x:c>
      <x:c r="AE35" s="60" t="str">
        <x:v>稳健性 65、行业地位 70</x:v>
      </x:c>
    </x:row>
    <x:row r="36" ht="39.599998474121094" hidden="0" customHeight="1">
      <x:c r="A36" s="60" t="str">
        <x:v>历史深度低估</x:v>
      </x:c>
      <x:c r="B36" s="66" t="str">
        <x:v>300926.SZ</x:v>
      </x:c>
      <x:c r="C36" s="60" t="str">
        <x:v>博俊科技</x:v>
      </x:c>
      <x:c r="D36" s="60" t="str">
        <x:v>汽车</x:v>
      </x:c>
      <x:c r="E36" s="60" t="str">
        <x:v>汽车零部件</x:v>
      </x:c>
      <x:c r="F36" s="60" t="str">
        <x:v>其他汽车零部件</x:v>
      </x:c>
      <x:c r="G36" s="61" t="n">
        <x:v>1</x:v>
      </x:c>
      <x:c r="H36" s="67" t="n">
        <x:v>78.7023</x:v>
      </x:c>
      <x:c r="I36" s="68" t="n">
        <x:v>1</x:v>
      </x:c>
      <x:c r="J36" s="69" t="str">
        <x:v>历史极低位</x:v>
      </x:c>
      <x:c r="K36" s="69" t="str">
        <x:v>完整</x:v>
      </x:c>
      <x:c r="L36" s="69" t="str">
        <x:v>2026-08-19</x:v>
      </x:c>
      <x:c r="M36" s="69" t="str">
        <x:v>2026-08-24</x:v>
      </x:c>
      <x:c r="N36" s="70" t="n">
        <x:v>17.45</x:v>
      </x:c>
      <x:c r="O36" s="70" t="n">
        <x:v>9.1956</x:v>
      </x:c>
      <x:c r="P36" s="68" t="n">
        <x:v>0.013500000000000002</x:v>
      </x:c>
      <x:c r="Q36" s="70" t="n">
        <x:v>2.0623</x:v>
      </x:c>
      <x:c r="R36" s="68" t="n">
        <x:v>0.013500000000000002</x:v>
      </x:c>
      <x:c r="S36" s="68" t="n">
        <x:v>0.012607</x:v>
      </x:c>
      <x:c r="T36" s="68" t="n">
        <x:v>0.014499999999999999</x:v>
      </x:c>
      <x:c r="U36" s="68" t="n">
        <x:v>0.0138</x:v>
      </x:c>
      <x:c r="V36" s="71" t="n">
        <x:v>73.75</x:v>
      </x:c>
      <x:c r="W36" s="71" t="n">
        <x:v>17.32881536</x:v>
      </x:c>
      <x:c r="X36" s="71" t="n">
        <x:v>2.17356864</x:v>
      </x:c>
      <x:c r="Y36" s="68" t="n">
        <x:v>0.2768</x:v>
      </x:c>
      <x:c r="Z36" s="68" t="n">
        <x:v>0.2608</x:v>
      </x:c>
      <x:c r="AA36" s="68" t="n">
        <x:v>0.14529999999999998</x:v>
      </x:c>
      <x:c r="AB36" s="68" t="n">
        <x:v>2.8105550878761303</x:v>
      </x:c>
      <x:c r="AC36" s="68" t="n">
        <x:v>0.6118</x:v>
      </x:c>
      <x:c r="AD36" s="60" t="str">
        <x:v>成长稳定 90、行业地位 90</x:v>
      </x:c>
      <x:c r="AE36" s="60" t="str">
        <x:v>稳健性 41、现金流 61</x:v>
      </x:c>
    </x:row>
    <x:row r="37" ht="52.79999923706055" hidden="0" customHeight="1">
      <x:c r="A37" s="60" t="str">
        <x:v>历史深度低估</x:v>
      </x:c>
      <x:c r="B37" s="66" t="str">
        <x:v>600258.SH</x:v>
      </x:c>
      <x:c r="C37" s="60" t="str">
        <x:v>首旅酒店</x:v>
      </x:c>
      <x:c r="D37" s="60" t="str">
        <x:v>社会服务</x:v>
      </x:c>
      <x:c r="E37" s="60" t="str">
        <x:v>酒店餐饮</x:v>
      </x:c>
      <x:c r="F37" s="60" t="str">
        <x:v>酒店</x:v>
      </x:c>
      <x:c r="G37" s="61" t="n">
        <x:v>1</x:v>
      </x:c>
      <x:c r="H37" s="67" t="n">
        <x:v>78.625</x:v>
      </x:c>
      <x:c r="I37" s="68" t="n">
        <x:v>1</x:v>
      </x:c>
      <x:c r="J37" s="69" t="str">
        <x:v>历史极低位</x:v>
      </x:c>
      <x:c r="K37" s="69" t="str">
        <x:v>完整</x:v>
      </x:c>
      <x:c r="L37" s="69" t="str">
        <x:v>2026-08-19</x:v>
      </x:c>
      <x:c r="M37" s="69" t="str">
        <x:v>2026-08-24</x:v>
      </x:c>
      <x:c r="N37" s="70" t="n">
        <x:v>12.1</x:v>
      </x:c>
      <x:c r="O37" s="70" t="n">
        <x:v>16.1313</x:v>
      </x:c>
      <x:c r="P37" s="68" t="n">
        <x:v>0.0692</x:v>
      </x:c>
      <x:c r="Q37" s="70" t="n">
        <x:v>1.1036</x:v>
      </x:c>
      <x:c r="R37" s="68" t="n">
        <x:v>0.0263</x:v>
      </x:c>
      <x:c r="S37" s="68" t="n">
        <x:v>0.03719</x:v>
      </x:c>
      <x:c r="T37" s="68" t="n">
        <x:v>0.0478</x:v>
      </x:c>
      <x:c r="U37" s="68" t="n">
        <x:v>0.0478</x:v>
      </x:c>
      <x:c r="V37" s="71" t="n">
        <x:v>135.89</x:v>
      </x:c>
      <x:c r="W37" s="71" t="n">
        <x:v>18.24669952</x:v>
      </x:c>
      <x:c r="X37" s="71" t="n">
        <x:v>0.56440656</x:v>
      </x:c>
      <x:c r="Y37" s="68" t="n">
        <x:v>0.0682</x:v>
      </x:c>
      <x:c r="Z37" s="68" t="n">
        <x:v>0.39880000000000004</x:v>
      </x:c>
      <x:c r="AA37" s="68" t="n">
        <x:v>0.107</x:v>
      </x:c>
      <x:c r="AB37" s="68" t="n">
        <x:v>12.093034779751674</x:v>
      </x:c>
      <x:c r="AC37" s="68" t="n">
        <x:v>0.5018</x:v>
      </x:c>
      <x:c r="AD37" s="60" t="str">
        <x:v>同行估值 100、盈利能力 100</x:v>
      </x:c>
      <x:c r="AE37" s="60" t="str">
        <x:v>稳健性 45、成长稳定 52</x:v>
      </x:c>
    </x:row>
    <x:row r="38" ht="39.599998474121094" hidden="0" customHeight="1">
      <x:c r="A38" s="60" t="str">
        <x:v>历史深度低估</x:v>
      </x:c>
      <x:c r="B38" s="66" t="str">
        <x:v>002318.SZ</x:v>
      </x:c>
      <x:c r="C38" s="60" t="str">
        <x:v>久立特材</x:v>
      </x:c>
      <x:c r="D38" s="60" t="str">
        <x:v>钢铁</x:v>
      </x:c>
      <x:c r="E38" s="60" t="str">
        <x:v>特钢</x:v>
      </x:c>
      <x:c r="F38" s="60" t="str">
        <x:v>特钢</x:v>
      </x:c>
      <x:c r="G38" s="61" t="n">
        <x:v>1</x:v>
      </x:c>
      <x:c r="H38" s="67" t="n">
        <x:v>78.4857</x:v>
      </x:c>
      <x:c r="I38" s="68" t="n">
        <x:v>1</x:v>
      </x:c>
      <x:c r="J38" s="69" t="str">
        <x:v>历史极低位</x:v>
      </x:c>
      <x:c r="K38" s="69" t="str">
        <x:v>完整</x:v>
      </x:c>
      <x:c r="L38" s="69" t="str">
        <x:v>2026-08-19</x:v>
      </x:c>
      <x:c r="M38" s="69" t="str">
        <x:v>2026-08-24</x:v>
      </x:c>
      <x:c r="N38" s="70" t="n">
        <x:v>19.41</x:v>
      </x:c>
      <x:c r="O38" s="70" t="n">
        <x:v>12.5201</x:v>
      </x:c>
      <x:c r="P38" s="68" t="n">
        <x:v>0.1197</x:v>
      </x:c>
      <x:c r="Q38" s="70" t="n">
        <x:v>2.0802</x:v>
      </x:c>
      <x:c r="R38" s="68" t="n">
        <x:v>0.0053</x:v>
      </x:c>
      <x:c r="S38" s="68" t="n">
        <x:v>0.05152</x:v>
      </x:c>
      <x:c r="T38" s="68" t="n">
        <x:v>0.0412</x:v>
      </x:c>
      <x:c r="U38" s="68" t="n">
        <x:v>0.0554</x:v>
      </x:c>
      <x:c r="V38" s="71" t="n">
        <x:v>191.04</x:v>
      </x:c>
      <x:c r="W38" s="71" t="n">
        <x:v>23.11787776</x:v>
      </x:c>
      <x:c r="X38" s="71" t="n">
        <x:v>2.47750784</x:v>
      </x:c>
      <x:c r="Y38" s="68" t="n">
        <x:v>0.19039999999999999</x:v>
      </x:c>
      <x:c r="Z38" s="68" t="n">
        <x:v>0.2466</x:v>
      </x:c>
      <x:c r="AA38" s="68" t="n">
        <x:v>0.1268</x:v>
      </x:c>
      <x:c r="AB38" s="68" t="n">
        <x:v>5.226429346031859</x:v>
      </x:c>
      <x:c r="AC38" s="68" t="n">
        <x:v>0.3628</x:v>
      </x:c>
      <x:c r="AD38" s="60" t="str">
        <x:v>盈利能力 96、成长稳定 87</x:v>
      </x:c>
      <x:c r="AE38" s="60" t="str">
        <x:v>稳健性 53、同行估值 65</x:v>
      </x:c>
    </x:row>
    <x:row r="39" ht="39.599998474121094" hidden="0" customHeight="1">
      <x:c r="A39" s="60" t="str">
        <x:v>历史深度低估</x:v>
      </x:c>
      <x:c r="B39" s="66" t="str">
        <x:v>688789.SH</x:v>
      </x:c>
      <x:c r="C39" s="60" t="str">
        <x:v>宏华数科</x:v>
      </x:c>
      <x:c r="D39" s="60" t="str">
        <x:v>机械设备</x:v>
      </x:c>
      <x:c r="E39" s="60" t="str">
        <x:v>专用设备</x:v>
      </x:c>
      <x:c r="F39" s="60" t="str">
        <x:v>印刷包装机械</x:v>
      </x:c>
      <x:c r="G39" s="61" t="n">
        <x:v>1</x:v>
      </x:c>
      <x:c r="H39" s="67" t="n">
        <x:v>78.3566</x:v>
      </x:c>
      <x:c r="I39" s="68" t="n">
        <x:v>1</x:v>
      </x:c>
      <x:c r="J39" s="69" t="str">
        <x:v>历史极低位</x:v>
      </x:c>
      <x:c r="K39" s="69" t="str">
        <x:v>完整</x:v>
      </x:c>
      <x:c r="L39" s="69" t="str">
        <x:v>2026-08-19</x:v>
      </x:c>
      <x:c r="M39" s="69" t="str">
        <x:v>2026-08-24</x:v>
      </x:c>
      <x:c r="N39" s="70" t="n">
        <x:v>46.63</x:v>
      </x:c>
      <x:c r="O39" s="70" t="n">
        <x:v>18.2125</x:v>
      </x:c>
      <x:c r="P39" s="68" t="n">
        <x:v>0.013300000000000001</x:v>
      </x:c>
      <x:c r="Q39" s="70" t="n">
        <x:v>2.325</x:v>
      </x:c>
      <x:c r="R39" s="68" t="n">
        <x:v>0.013300000000000001</x:v>
      </x:c>
      <x:c r="S39" s="68" t="n">
        <x:v>0.019301</x:v>
      </x:c>
      <x:c r="T39" s="68" t="n">
        <x:v>0.0218</x:v>
      </x:c>
      <x:c r="U39" s="68" t="n">
        <x:v>0.0161</x:v>
      </x:c>
      <x:c r="V39" s="71" t="n">
        <x:v>81.76</x:v>
      </x:c>
      <x:c r="W39" s="71" t="n">
        <x:v>6.70523584</x:v>
      </x:c>
      <x:c r="X39" s="71" t="n">
        <x:v>1.40520336</x:v>
      </x:c>
      <x:c r="Y39" s="68" t="n">
        <x:v>0.157</x:v>
      </x:c>
      <x:c r="Z39" s="68" t="n">
        <x:v>0.4305</x:v>
      </x:c>
      <x:c r="AA39" s="68" t="n">
        <x:v>0.23989999999999997</x:v>
      </x:c>
      <x:c r="AB39" s="68" t="n">
        <x:v>0.5832335043662292</x:v>
      </x:c>
      <x:c r="AC39" s="68" t="n">
        <x:v>0.257</x:v>
      </x:c>
      <x:c r="AD39" s="60" t="str">
        <x:v>成长稳定 95、盈利能力 95</x:v>
      </x:c>
      <x:c r="AE39" s="60" t="str">
        <x:v>现金流 30、稳健性 71</x:v>
      </x:c>
    </x:row>
    <x:row r="40" ht="39.599998474121094" hidden="0" customHeight="1">
      <x:c r="A40" s="60" t="str">
        <x:v>历史深度低估</x:v>
      </x:c>
      <x:c r="B40" s="66" t="str">
        <x:v>600161.SH</x:v>
      </x:c>
      <x:c r="C40" s="60" t="str">
        <x:v>天坛生物</x:v>
      </x:c>
      <x:c r="D40" s="60" t="str">
        <x:v>医药医疗</x:v>
      </x:c>
      <x:c r="E40" s="60" t="str">
        <x:v>生物制品</x:v>
      </x:c>
      <x:c r="F40" s="60" t="str">
        <x:v>血液制品</x:v>
      </x:c>
      <x:c r="G40" s="61" t="n">
        <x:v>1</x:v>
      </x:c>
      <x:c r="H40" s="67" t="n">
        <x:v>78.35</x:v>
      </x:c>
      <x:c r="I40" s="68" t="n">
        <x:v>1</x:v>
      </x:c>
      <x:c r="J40" s="69" t="str">
        <x:v>历史极低位</x:v>
      </x:c>
      <x:c r="K40" s="69" t="str">
        <x:v>完整</x:v>
      </x:c>
      <x:c r="L40" s="69" t="str">
        <x:v>2026-08-19</x:v>
      </x:c>
      <x:c r="M40" s="69" t="str">
        <x:v>2026-08-24</x:v>
      </x:c>
      <x:c r="N40" s="70" t="n">
        <x:v>12.27</x:v>
      </x:c>
      <x:c r="O40" s="70" t="n">
        <x:v>24.9469</x:v>
      </x:c>
      <x:c r="P40" s="68" t="n">
        <x:v>0.051100000000000007</x:v>
      </x:c>
      <x:c r="Q40" s="70" t="n">
        <x:v>2.0453</x:v>
      </x:c>
      <x:c r="R40" s="68" t="n">
        <x:v>0.0141</x:v>
      </x:c>
      <x:c r="S40" s="68" t="n">
        <x:v>0.0163</x:v>
      </x:c>
      <x:c r="T40" s="68" t="n">
        <x:v>0.049400000000000006</x:v>
      </x:c>
      <x:c r="U40" s="68" t="n">
        <x:v>0.0382</x:v>
      </x:c>
      <x:c r="V40" s="71" t="n">
        <x:v>236.1</x:v>
      </x:c>
      <x:c r="W40" s="71" t="n">
        <x:v>17.0296448</x:v>
      </x:c>
      <x:c r="X40" s="71" t="n">
        <x:v>2.72151648</x:v>
      </x:c>
      <x:c r="Y40" s="68" t="n">
        <x:v>0.0951</x:v>
      </x:c>
      <x:c r="Z40" s="68" t="n">
        <x:v>0.4385</x:v>
      </x:c>
      <x:c r="AA40" s="68" t="n">
        <x:v>0.2415</x:v>
      </x:c>
      <x:c r="AB40" s="68" t="n">
        <x:v>0.8151765151170423</x:v>
      </x:c>
      <x:c r="AC40" s="68" t="n">
        <x:v>0.0764</x:v>
      </x:c>
      <x:c r="AD40" s="60" t="str">
        <x:v>成长稳定 94、行业地位 93</x:v>
      </x:c>
      <x:c r="AE40" s="60" t="str">
        <x:v>现金流 57、稳健性 57</x:v>
      </x:c>
    </x:row>
    <x:row r="41" ht="39.599998474121094" hidden="0" customHeight="1">
      <x:c r="A41" s="60" t="str">
        <x:v>历史深度低估</x:v>
      </x:c>
      <x:c r="B41" s="66" t="str">
        <x:v>688093.SH</x:v>
      </x:c>
      <x:c r="C41" s="60" t="str">
        <x:v>世华科技</x:v>
      </x:c>
      <x:c r="D41" s="60" t="str">
        <x:v>电子</x:v>
      </x:c>
      <x:c r="E41" s="60" t="str">
        <x:v>其他电子</x:v>
      </x:c>
      <x:c r="F41" s="60" t="str">
        <x:v>其他电子</x:v>
      </x:c>
      <x:c r="G41" s="61" t="n">
        <x:v>1</x:v>
      </x:c>
      <x:c r="H41" s="67" t="n">
        <x:v>78.1081</x:v>
      </x:c>
      <x:c r="I41" s="68" t="n">
        <x:v>1</x:v>
      </x:c>
      <x:c r="J41" s="69" t="str">
        <x:v>历史极低位</x:v>
      </x:c>
      <x:c r="K41" s="69" t="str">
        <x:v>完整</x:v>
      </x:c>
      <x:c r="L41" s="69" t="str">
        <x:v>2026-08-19</x:v>
      </x:c>
      <x:c r="M41" s="69" t="str">
        <x:v>2026-08-24</x:v>
      </x:c>
      <x:c r="N41" s="70" t="n">
        <x:v>25.44</x:v>
      </x:c>
      <x:c r="O41" s="70" t="n">
        <x:v>17.9619</x:v>
      </x:c>
      <x:c r="P41" s="68" t="n">
        <x:v>0.024700000000000003</x:v>
      </x:c>
      <x:c r="Q41" s="70" t="n">
        <x:v>2.4852</x:v>
      </x:c>
      <x:c r="R41" s="68" t="n">
        <x:v>0.152</x:v>
      </x:c>
      <x:c r="S41" s="68" t="n">
        <x:v>0.027516</x:v>
      </x:c>
      <x:c r="T41" s="68" t="n">
        <x:v>0.1188</x:v>
      </x:c>
      <x:c r="U41" s="68" t="n">
        <x:v>0.09849999999999999</x:v>
      </x:c>
      <x:c r="V41" s="71" t="n">
        <x:v>69.76</x:v>
      </x:c>
      <x:c r="W41" s="71" t="n">
        <x:v>2.41523616</x:v>
      </x:c>
      <x:c r="X41" s="71" t="n">
        <x:v>0.82488632</x:v>
      </x:c>
      <x:c r="Y41" s="68" t="n">
        <x:v>0.1752</x:v>
      </x:c>
      <x:c r="Z41" s="68" t="n">
        <x:v>0.5811</x:v>
      </x:c>
      <x:c r="AA41" s="68" t="n">
        <x:v>0.3671</x:v>
      </x:c>
      <x:c r="AB41" s="68" t="n">
        <x:v>2.0463185278669673</x:v>
      </x:c>
      <x:c r="AC41" s="68" t="n">
        <x:v>0.0564</x:v>
      </x:c>
      <x:c r="AD41" s="60" t="str">
        <x:v>盈利能力 97、同行估值 91</x:v>
      </x:c>
      <x:c r="AE41" s="60" t="str">
        <x:v>行业地位 58、稳健性 64</x:v>
      </x:c>
    </x:row>
    <x:row r="42" ht="39.599998474121094" hidden="0" customHeight="1">
      <x:c r="A42" s="60" t="str">
        <x:v>历史深度低估</x:v>
      </x:c>
      <x:c r="B42" s="66" t="str">
        <x:v>000513.SZ</x:v>
      </x:c>
      <x:c r="C42" s="60" t="str">
        <x:v>丽珠集团</x:v>
      </x:c>
      <x:c r="D42" s="60" t="str">
        <x:v>医药医疗</x:v>
      </x:c>
      <x:c r="E42" s="60" t="str">
        <x:v>化学制药</x:v>
      </x:c>
      <x:c r="F42" s="60" t="str">
        <x:v>化学制剂</x:v>
      </x:c>
      <x:c r="G42" s="61" t="n">
        <x:v>2</x:v>
      </x:c>
      <x:c r="H42" s="67" t="n">
        <x:v>77.8367</x:v>
      </x:c>
      <x:c r="I42" s="68" t="n">
        <x:v>1</x:v>
      </x:c>
      <x:c r="J42" s="69" t="str">
        <x:v>历史极低位</x:v>
      </x:c>
      <x:c r="K42" s="69" t="str">
        <x:v>完整</x:v>
      </x:c>
      <x:c r="L42" s="69" t="str">
        <x:v>2026-08-19</x:v>
      </x:c>
      <x:c r="M42" s="69" t="str">
        <x:v>2026-08-24</x:v>
      </x:c>
      <x:c r="N42" s="70" t="n">
        <x:v>29.72</x:v>
      </x:c>
      <x:c r="O42" s="70" t="n">
        <x:v>13.4399</x:v>
      </x:c>
      <x:c r="P42" s="68" t="n">
        <x:v>0.0053</x:v>
      </x:c>
      <x:c r="Q42" s="70" t="n">
        <x:v>1.8188</x:v>
      </x:c>
      <x:c r="R42" s="68" t="n">
        <x:v>0.0053</x:v>
      </x:c>
      <x:c r="S42" s="68" t="n">
        <x:v>0.048116000000000006</x:v>
      </x:c>
      <x:c r="T42" s="68" t="n">
        <x:v>0.0292</x:v>
      </x:c>
      <x:c r="U42" s="68" t="n">
        <x:v>0.013300000000000001</x:v>
      </x:c>
      <x:c r="V42" s="71" t="n">
        <x:v>233.87</x:v>
      </x:c>
      <x:c r="W42" s="71" t="n">
        <x:v>29.04434944</x:v>
      </x:c>
      <x:c r="X42" s="71" t="n">
        <x:v>2.69149024</x:v>
      </x:c>
      <x:c r="Y42" s="68" t="n">
        <x:v>0.1467</x:v>
      </x:c>
      <x:c r="Z42" s="68" t="n">
        <x:v>0.659</x:v>
      </x:c>
      <x:c r="AA42" s="68" t="n">
        <x:v>0.2006</x:v>
      </x:c>
      <x:c r="AB42" s="68" t="n">
        <x:v>2.3021362618799612</x:v>
      </x:c>
      <x:c r="AC42" s="68" t="n">
        <x:v>0.3518</x:v>
      </x:c>
      <x:c r="AD42" s="60" t="str">
        <x:v>行业地位 92、同行估值 90</x:v>
      </x:c>
      <x:c r="AE42" s="60" t="str">
        <x:v>现金流 62、成长稳定 62</x:v>
      </x:c>
    </x:row>
    <x:row r="43" ht="39.599998474121094" hidden="0" customHeight="1">
      <x:c r="A43" s="60" t="str">
        <x:v>历史深度低估</x:v>
      </x:c>
      <x:c r="B43" s="66" t="str">
        <x:v>600933.SH</x:v>
      </x:c>
      <x:c r="C43" s="60" t="str">
        <x:v>爱柯迪</x:v>
      </x:c>
      <x:c r="D43" s="60" t="str">
        <x:v>汽车</x:v>
      </x:c>
      <x:c r="E43" s="60" t="str">
        <x:v>汽车零部件</x:v>
      </x:c>
      <x:c r="F43" s="60" t="str">
        <x:v>底盘与发动机系统</x:v>
      </x:c>
      <x:c r="G43" s="61" t="n">
        <x:v>1</x:v>
      </x:c>
      <x:c r="H43" s="67" t="n">
        <x:v>77.3092</x:v>
      </x:c>
      <x:c r="I43" s="68" t="n">
        <x:v>1</x:v>
      </x:c>
      <x:c r="J43" s="69" t="str">
        <x:v>历史极低位</x:v>
      </x:c>
      <x:c r="K43" s="69" t="str">
        <x:v>完整</x:v>
      </x:c>
      <x:c r="L43" s="69" t="str">
        <x:v>2026-08-19</x:v>
      </x:c>
      <x:c r="M43" s="69" t="str">
        <x:v>2026-08-24</x:v>
      </x:c>
      <x:c r="N43" s="70" t="n">
        <x:v>13.65</x:v>
      </x:c>
      <x:c r="O43" s="70" t="n">
        <x:v>12.4075</x:v>
      </x:c>
      <x:c r="P43" s="68" t="n">
        <x:v>0.0213</x:v>
      </x:c>
      <x:c r="Q43" s="70" t="n">
        <x:v>1.4152</x:v>
      </x:c>
      <x:c r="R43" s="68" t="n">
        <x:v>0.0126</x:v>
      </x:c>
      <x:c r="S43" s="68" t="n">
        <x:v>0.029304</x:v>
      </x:c>
      <x:c r="T43" s="68" t="n">
        <x:v>0.0273</x:v>
      </x:c>
      <x:c r="U43" s="68" t="n">
        <x:v>0.0204</x:v>
      </x:c>
      <x:c r="V43" s="71" t="n">
        <x:v>142.55</x:v>
      </x:c>
      <x:c r="W43" s="71" t="n">
        <x:v>21.03115136</x:v>
      </x:c>
      <x:c r="X43" s="71" t="n">
        <x:v>2.76132896</x:v>
      </x:c>
      <x:c r="Y43" s="68" t="n">
        <x:v>0.1321</x:v>
      </x:c>
      <x:c r="Z43" s="68" t="n">
        <x:v>0.2977</x:v>
      </x:c>
      <x:c r="AA43" s="68" t="n">
        <x:v>0.16390000000000002</x:v>
      </x:c>
      <x:c r="AB43" s="68" t="n">
        <x:v>1.3633948778055043</x:v>
      </x:c>
      <x:c r="AC43" s="68" t="n">
        <x:v>0.4047</x:v>
      </x:c>
      <x:c r="AD43" s="60" t="str">
        <x:v>行业地位 90、同行估值 90</x:v>
      </x:c>
      <x:c r="AE43" s="60" t="str">
        <x:v>稳健性 42、现金流 65</x:v>
      </x:c>
    </x:row>
    <x:row r="44" ht="39.599998474121094" hidden="0" customHeight="1">
      <x:c r="A44" s="60" t="str">
        <x:v>历史深度低估</x:v>
      </x:c>
      <x:c r="B44" s="66" t="str">
        <x:v>002351.SZ</x:v>
      </x:c>
      <x:c r="C44" s="60" t="str">
        <x:v>漫步者</x:v>
      </x:c>
      <x:c r="D44" s="60" t="str">
        <x:v>电子</x:v>
      </x:c>
      <x:c r="E44" s="60" t="str">
        <x:v>消费电子</x:v>
      </x:c>
      <x:c r="F44" s="60" t="str">
        <x:v>消费电子组件</x:v>
      </x:c>
      <x:c r="G44" s="61" t="n">
        <x:v>1</x:v>
      </x:c>
      <x:c r="H44" s="67" t="n">
        <x:v>77.1681</x:v>
      </x:c>
      <x:c r="I44" s="68" t="n">
        <x:v>1</x:v>
      </x:c>
      <x:c r="J44" s="69" t="str">
        <x:v>历史极低位</x:v>
      </x:c>
      <x:c r="K44" s="69" t="str">
        <x:v>完整</x:v>
      </x:c>
      <x:c r="L44" s="69" t="str">
        <x:v>2026-08-19</x:v>
      </x:c>
      <x:c r="M44" s="69" t="str">
        <x:v>2026-08-24</x:v>
      </x:c>
      <x:c r="N44" s="70" t="n">
        <x:v>9.58</x:v>
      </x:c>
      <x:c r="O44" s="70" t="n">
        <x:v>19.7604</x:v>
      </x:c>
      <x:c r="P44" s="68" t="n">
        <x:v>0.0315</x:v>
      </x:c>
      <x:c r="Q44" s="70" t="n">
        <x:v>2.7701</x:v>
      </x:c>
      <x:c r="R44" s="68" t="n">
        <x:v>0.0127</x:v>
      </x:c>
      <x:c r="S44" s="68" t="n">
        <x:v>0.020877</x:v>
      </x:c>
      <x:c r="T44" s="68" t="n">
        <x:v>0.1928</x:v>
      </x:c>
      <x:c r="U44" s="68" t="n">
        <x:v>0.079</x:v>
      </x:c>
      <x:c r="V44" s="71" t="n">
        <x:v>88.11</x:v>
      </x:c>
      <x:c r="W44" s="71" t="n">
        <x:v>7.4063328</x:v>
      </x:c>
      <x:c r="X44" s="71" t="n">
        <x:v>1.31109248</x:v>
      </x:c>
      <x:c r="Y44" s="68" t="n">
        <x:v>0.1494</x:v>
      </x:c>
      <x:c r="Z44" s="68" t="n">
        <x:v>0.40630000000000005</x:v>
      </x:c>
      <x:c r="AA44" s="68" t="n">
        <x:v>0.1664</x:v>
      </x:c>
      <x:c r="AB44" s="68" t="n">
        <x:v>1.1508207872567464</x:v>
      </x:c>
      <x:c r="AC44" s="68" t="n">
        <x:v>0.1577</x:v>
      </x:c>
      <x:c r="AD44" s="60" t="str">
        <x:v>盈利能力 96、同行估值 90</x:v>
      </x:c>
      <x:c r="AE44" s="60" t="str">
        <x:v>成长稳定 53、行业地位 66</x:v>
      </x:c>
    </x:row>
    <x:row r="45" ht="39.599998474121094" hidden="0" customHeight="1">
      <x:c r="A45" s="60" t="str">
        <x:v>历史深度低估</x:v>
      </x:c>
      <x:c r="B45" s="66" t="str">
        <x:v>002946.SZ</x:v>
      </x:c>
      <x:c r="C45" s="60" t="str">
        <x:v>新乳业</x:v>
      </x:c>
      <x:c r="D45" s="60" t="str">
        <x:v>食品饮料</x:v>
      </x:c>
      <x:c r="E45" s="60" t="str">
        <x:v>饮料乳品</x:v>
      </x:c>
      <x:c r="F45" s="60" t="str">
        <x:v>乳制品</x:v>
      </x:c>
      <x:c r="G45" s="61" t="n">
        <x:v>2</x:v>
      </x:c>
      <x:c r="H45" s="67" t="n">
        <x:v>77.0392</x:v>
      </x:c>
      <x:c r="I45" s="68" t="n">
        <x:v>1</x:v>
      </x:c>
      <x:c r="J45" s="69" t="str">
        <x:v>历史极低位</x:v>
      </x:c>
      <x:c r="K45" s="69" t="str">
        <x:v>完整</x:v>
      </x:c>
      <x:c r="L45" s="69" t="str">
        <x:v>2026-08-19</x:v>
      </x:c>
      <x:c r="M45" s="69" t="str">
        <x:v>2026-08-24</x:v>
      </x:c>
      <x:c r="N45" s="70" t="n">
        <x:v>15.81</x:v>
      </x:c>
      <x:c r="O45" s="70" t="n">
        <x:v>17.3497</x:v>
      </x:c>
      <x:c r="P45" s="68" t="n">
        <x:v>0.0768</x:v>
      </x:c>
      <x:c r="Q45" s="70" t="n">
        <x:v>3.4717</x:v>
      </x:c>
      <x:c r="R45" s="68" t="n">
        <x:v>0.1373</x:v>
      </x:c>
      <x:c r="S45" s="68" t="n">
        <x:v>0.028463</x:v>
      </x:c>
      <x:c r="T45" s="68" t="n">
        <x:v>0.0265</x:v>
      </x:c>
      <x:c r="U45" s="68" t="n">
        <x:v>0.0802</x:v>
      </x:c>
      <x:c r="V45" s="71" t="n">
        <x:v>136.07</x:v>
      </x:c>
      <x:c r="W45" s="71" t="n">
        <x:v>27.9962112</x:v>
      </x:c>
      <x:c r="X45" s="71" t="n">
        <x:v>1.08298792</x:v>
      </x:c>
      <x:c r="Y45" s="68" t="n">
        <x:v>0.2094</x:v>
      </x:c>
      <x:c r="Z45" s="68" t="n">
        <x:v>0.2918</x:v>
      </x:c>
      <x:c r="AA45" s="68" t="n">
        <x:v>0.0672</x:v>
      </x:c>
      <x:c r="AB45" s="68" t="n">
        <x:v>4.056117634257638</x:v>
      </x:c>
      <x:c r="AC45" s="68" t="n">
        <x:v>0.5650999999999999</x:v>
      </x:c>
      <x:c r="AD45" s="60" t="str">
        <x:v>行业地位 93、盈利能力 87</x:v>
      </x:c>
      <x:c r="AE45" s="60" t="str">
        <x:v>稳健性 34、同行估值 66</x:v>
      </x:c>
    </x:row>
    <x:row r="46" ht="39.599998474121094" hidden="0" customHeight="1">
      <x:c r="A46" s="60" t="str">
        <x:v>历史深度低估</x:v>
      </x:c>
      <x:c r="B46" s="66" t="str">
        <x:v>603899.SH</x:v>
      </x:c>
      <x:c r="C46" s="60" t="str">
        <x:v>晨光股份</x:v>
      </x:c>
      <x:c r="D46" s="60" t="str">
        <x:v>轻工制造</x:v>
      </x:c>
      <x:c r="E46" s="60" t="str">
        <x:v>文娱用品</x:v>
      </x:c>
      <x:c r="F46" s="60" t="str">
        <x:v>文化用品</x:v>
      </x:c>
      <x:c r="G46" s="61" t="n">
        <x:v>1</x:v>
      </x:c>
      <x:c r="H46" s="67" t="n">
        <x:v>76.875</x:v>
      </x:c>
      <x:c r="I46" s="68" t="n">
        <x:v>1</x:v>
      </x:c>
      <x:c r="J46" s="69" t="str">
        <x:v>历史极低位</x:v>
      </x:c>
      <x:c r="K46" s="69" t="str">
        <x:v>完整</x:v>
      </x:c>
      <x:c r="L46" s="69" t="str">
        <x:v>2026-08-19</x:v>
      </x:c>
      <x:c r="M46" s="69" t="str">
        <x:v>2026-08-24</x:v>
      </x:c>
      <x:c r="N46" s="70" t="n">
        <x:v>22.43</x:v>
      </x:c>
      <x:c r="O46" s="70" t="n">
        <x:v>15.4525</x:v>
      </x:c>
      <x:c r="P46" s="68" t="n">
        <x:v>0.0381</x:v>
      </x:c>
      <x:c r="Q46" s="70" t="n">
        <x:v>2.1325</x:v>
      </x:c>
      <x:c r="R46" s="68" t="n">
        <x:v>0.029500000000000002</x:v>
      </x:c>
      <x:c r="S46" s="68" t="n">
        <x:v>0.044583000000000005</x:v>
      </x:c>
      <x:c r="T46" s="68" t="n">
        <x:v>0.0342</x:v>
      </x:c>
      <x:c r="U46" s="68" t="n">
        <x:v>0.0339</x:v>
      </x:c>
      <x:c r="V46" s="71" t="n">
        <x:v>205.69</x:v>
      </x:c>
      <x:c r="W46" s="71" t="n">
        <x:v>77.360512</x:v>
      </x:c>
      <x:c r="X46" s="71" t="n">
        <x:v>3.62146656</x:v>
      </x:c>
      <x:c r="Y46" s="68" t="n">
        <x:v>0.1456</x:v>
      </x:c>
      <x:c r="Z46" s="68" t="n">
        <x:v>0.18359999999999999</x:v>
      </x:c>
      <x:c r="AA46" s="68" t="n">
        <x:v>0.054299999999999994</x:v>
      </x:c>
      <x:c r="AB46" s="68" t="n">
        <x:v>2.4733253259695984</x:v>
      </x:c>
      <x:c r="AC46" s="68" t="n">
        <x:v>0.4536</x:v>
      </x:c>
      <x:c r="AD46" s="60" t="str">
        <x:v>行业地位 100、同行估值 92</x:v>
      </x:c>
      <x:c r="AE46" s="60" t="str">
        <x:v>成长稳定 50、稳健性 64</x:v>
      </x:c>
    </x:row>
    <x:row r="47" ht="39.599998474121094" hidden="0" customHeight="1">
      <x:c r="A47" s="60" t="str">
        <x:v>历史深度低估</x:v>
      </x:c>
      <x:c r="B47" s="66" t="str">
        <x:v>601633.SH</x:v>
      </x:c>
      <x:c r="C47" s="60" t="str">
        <x:v>长城汽车</x:v>
      </x:c>
      <x:c r="D47" s="60" t="str">
        <x:v>汽车</x:v>
      </x:c>
      <x:c r="E47" s="60" t="str">
        <x:v>乘用车</x:v>
      </x:c>
      <x:c r="F47" s="60" t="str">
        <x:v>综合乘用车</x:v>
      </x:c>
      <x:c r="G47" s="61" t="n">
        <x:v>1</x:v>
      </x:c>
      <x:c r="H47" s="67" t="n">
        <x:v>76.75</x:v>
      </x:c>
      <x:c r="I47" s="68" t="n">
        <x:v>1</x:v>
      </x:c>
      <x:c r="J47" s="69" t="str">
        <x:v>历史极低位</x:v>
      </x:c>
      <x:c r="K47" s="69" t="str">
        <x:v>完整</x:v>
      </x:c>
      <x:c r="L47" s="69" t="str">
        <x:v>2026-08-19</x:v>
      </x:c>
      <x:c r="M47" s="69" t="str">
        <x:v>2026-08-24</x:v>
      </x:c>
      <x:c r="N47" s="70" t="n">
        <x:v>15.23</x:v>
      </x:c>
      <x:c r="O47" s="70" t="n">
        <x:v>14.4329</x:v>
      </x:c>
      <x:c r="P47" s="68" t="n">
        <x:v>0.0051</x:v>
      </x:c>
      <x:c r="Q47" s="70" t="n">
        <x:v>1.4768</x:v>
      </x:c>
      <x:c r="R47" s="68" t="n">
        <x:v>0.0051</x:v>
      </x:c>
      <x:c r="S47" s="68" t="n">
        <x:v>0.022980999999999998</x:v>
      </x:c>
      <x:c r="T47" s="68" t="n">
        <x:v>0.0536</x:v>
      </x:c>
      <x:c r="U47" s="68" t="n">
        <x:v>0.0213</x:v>
      </x:c>
      <x:c r="V47" s="71" t="n">
        <x:v>1304.79</x:v>
      </x:c>
      <x:c r="W47" s="71" t="n">
        <x:v>692.42363904</x:v>
      </x:c>
      <x:c r="X47" s="71" t="n">
        <x:v>12.30317184</x:v>
      </x:c>
      <x:c r="Y47" s="68" t="n">
        <x:v>0.1176</x:v>
      </x:c>
      <x:c r="Z47" s="68" t="n">
        <x:v>0.1804</x:v>
      </x:c>
      <x:c r="AA47" s="68" t="n">
        <x:v>0.0443</x:v>
      </x:c>
      <x:c r="AB47" s="68" t="n">
        <x:v>15.418051857430612</x:v>
      </x:c>
      <x:c r="AC47" s="68" t="n">
        <x:v>0.6099</x:v>
      </x:c>
      <x:c r="AD47" s="60" t="str">
        <x:v>现金流 98、行业地位 88</x:v>
      </x:c>
      <x:c r="AE47" s="60" t="str">
        <x:v>成长稳定 53、同行估值 57</x:v>
      </x:c>
    </x:row>
    <x:row r="48" ht="39.599998474121094" hidden="0" customHeight="1">
      <x:c r="A48" s="60" t="str">
        <x:v>历史深度低估</x:v>
      </x:c>
      <x:c r="B48" s="66" t="str">
        <x:v>601816.SH</x:v>
      </x:c>
      <x:c r="C48" s="60" t="str">
        <x:v>京沪高铁</x:v>
      </x:c>
      <x:c r="D48" s="60" t="str">
        <x:v>交通运输</x:v>
      </x:c>
      <x:c r="E48" s="60" t="str">
        <x:v>公路铁路</x:v>
      </x:c>
      <x:c r="F48" s="60" t="str">
        <x:v>铁路运输</x:v>
      </x:c>
      <x:c r="G48" s="61" t="n">
        <x:v>1</x:v>
      </x:c>
      <x:c r="H48" s="67" t="n">
        <x:v>76.6667</x:v>
      </x:c>
      <x:c r="I48" s="68" t="n">
        <x:v>1</x:v>
      </x:c>
      <x:c r="J48" s="69" t="str">
        <x:v>历史极低位</x:v>
      </x:c>
      <x:c r="K48" s="69" t="str">
        <x:v>完整</x:v>
      </x:c>
      <x:c r="L48" s="69" t="str">
        <x:v>2026-08-19</x:v>
      </x:c>
      <x:c r="M48" s="69" t="str">
        <x:v>2026-08-24</x:v>
      </x:c>
      <x:c r="N48" s="70" t="n">
        <x:v>4.95</x:v>
      </x:c>
      <x:c r="O48" s="70" t="n">
        <x:v>18.1401</x:v>
      </x:c>
      <x:c r="P48" s="68" t="n">
        <x:v>0.0361</x:v>
      </x:c>
      <x:c r="Q48" s="70" t="n">
        <x:v>1.151</x:v>
      </x:c>
      <x:c r="R48" s="68" t="n">
        <x:v>0.0346</x:v>
      </x:c>
      <x:c r="S48" s="68" t="n">
        <x:v>0.026869</x:v>
      </x:c>
      <x:c r="T48" s="68" t="n">
        <x:v>0.1377</x:v>
      </x:c>
      <x:c r="U48" s="68" t="n">
        <x:v>0.0695</x:v>
      </x:c>
      <x:c r="V48" s="71" t="n">
        <x:v>2402.25</x:v>
      </x:c>
      <x:c r="W48" s="71" t="n">
        <x:v>102.57164288</x:v>
      </x:c>
      <x:c r="X48" s="71" t="n">
        <x:v>28.69728512</x:v>
      </x:c>
      <x:c r="Y48" s="68" t="n">
        <x:v>0.0644</x:v>
      </x:c>
      <x:c r="Z48" s="68" t="n">
        <x:v>0.46880000000000005</x:v>
      </x:c>
      <x:c r="AA48" s="68" t="n">
        <x:v>0.3066</x:v>
      </x:c>
      <x:c r="AB48" s="68" t="n">
        <x:v>1.698081968249964</x:v>
      </x:c>
      <x:c r="AC48" s="68" t="n">
        <x:v>0.20129999999999998</x:v>
      </x:c>
      <x:c r="AD48" s="60" t="str">
        <x:v>行业地位 95、盈利能力 93</x:v>
      </x:c>
      <x:c r="AE48" s="60" t="str">
        <x:v>同行估值 45、稳健性 50</x:v>
      </x:c>
    </x:row>
    <x:row r="49" ht="39.599998474121094" hidden="0" customHeight="1">
      <x:c r="A49" s="60" t="str">
        <x:v>历史深度低估</x:v>
      </x:c>
      <x:c r="B49" s="66" t="str">
        <x:v>600511.SH</x:v>
      </x:c>
      <x:c r="C49" s="60" t="str">
        <x:v>国药股份</x:v>
      </x:c>
      <x:c r="D49" s="60" t="str">
        <x:v>医药医疗</x:v>
      </x:c>
      <x:c r="E49" s="60" t="str">
        <x:v>医药商业</x:v>
      </x:c>
      <x:c r="F49" s="60" t="str">
        <x:v>医药流通</x:v>
      </x:c>
      <x:c r="G49" s="61" t="n">
        <x:v>1</x:v>
      </x:c>
      <x:c r="H49" s="67" t="n">
        <x:v>76.5649</x:v>
      </x:c>
      <x:c r="I49" s="68" t="n">
        <x:v>1</x:v>
      </x:c>
      <x:c r="J49" s="69" t="str">
        <x:v>历史极低位</x:v>
      </x:c>
      <x:c r="K49" s="69" t="str">
        <x:v>完整</x:v>
      </x:c>
      <x:c r="L49" s="69" t="str">
        <x:v>2026-08-19</x:v>
      </x:c>
      <x:c r="M49" s="69" t="str">
        <x:v>2026-08-24</x:v>
      </x:c>
      <x:c r="N49" s="70" t="n">
        <x:v>27.15</x:v>
      </x:c>
      <x:c r="O49" s="70" t="n">
        <x:v>10.1821</x:v>
      </x:c>
      <x:c r="P49" s="68" t="n">
        <x:v>0.0365</x:v>
      </x:c>
      <x:c r="Q49" s="70" t="n">
        <x:v>1.0755</x:v>
      </x:c>
      <x:c r="R49" s="68" t="n">
        <x:v>0.0208</x:v>
      </x:c>
      <x:c r="S49" s="68" t="n">
        <x:v>0.029466000000000003</x:v>
      </x:c>
      <x:c r="T49" s="68" t="n">
        <x:v>0.042199999999999994</x:v>
      </x:c>
      <x:c r="U49" s="68" t="n">
        <x:v>0.0332</x:v>
      </x:c>
      <x:c r="V49" s="71" t="n">
        <x:v>198.13</x:v>
      </x:c>
      <x:c r="W49" s="71" t="n">
        <x:v>130.86979072</x:v>
      </x:c>
      <x:c r="X49" s="71" t="n">
        <x:v>5.04327808</x:v>
      </x:c>
      <x:c r="Y49" s="68" t="n">
        <x:v>0.11259999999999999</x:v>
      </x:c>
      <x:c r="Z49" s="68" t="n">
        <x:v>0.0659</x:v>
      </x:c>
      <x:c r="AA49" s="68" t="n">
        <x:v>0.0398</x:v>
      </x:c>
      <x:c r="AB49" s="68" t="n">
        <x:v>8.04228970059093</x:v>
      </x:c>
      <x:c r="AC49" s="68" t="n">
        <x:v>0.4464</x:v>
      </x:c>
      <x:c r="AD49" s="60" t="str">
        <x:v>行业地位 90、同行估值 81</x:v>
      </x:c>
      <x:c r="AE49" s="60" t="str">
        <x:v>稳健性 66、盈利能力 68</x:v>
      </x:c>
    </x:row>
    <x:row r="50" ht="39.599998474121094" hidden="0" customHeight="1">
      <x:c r="A50" s="60" t="str">
        <x:v>历史深度低估</x:v>
      </x:c>
      <x:c r="B50" s="66" t="str">
        <x:v>002152.SZ</x:v>
      </x:c>
      <x:c r="C50" s="60" t="str">
        <x:v>广电运通</x:v>
      </x:c>
      <x:c r="D50" s="60" t="str">
        <x:v>计算机</x:v>
      </x:c>
      <x:c r="E50" s="60" t="str">
        <x:v>IT设备</x:v>
      </x:c>
      <x:c r="F50" s="60" t="str">
        <x:v>其他IT设备</x:v>
      </x:c>
      <x:c r="G50" s="61" t="n">
        <x:v>1</x:v>
      </x:c>
      <x:c r="H50" s="67" t="n">
        <x:v>76.2235</x:v>
      </x:c>
      <x:c r="I50" s="68" t="n">
        <x:v>1</x:v>
      </x:c>
      <x:c r="J50" s="69" t="str">
        <x:v>历史极低位</x:v>
      </x:c>
      <x:c r="K50" s="69" t="str">
        <x:v>完整</x:v>
      </x:c>
      <x:c r="L50" s="69" t="str">
        <x:v>2026-08-19</x:v>
      </x:c>
      <x:c r="M50" s="69" t="str">
        <x:v>2026-08-24</x:v>
      </x:c>
      <x:c r="N50" s="70" t="n">
        <x:v>9.3</x:v>
      </x:c>
      <x:c r="O50" s="70" t="n">
        <x:v>27.2834</x:v>
      </x:c>
      <x:c r="P50" s="68" t="n">
        <x:v>0.19649999999999998</x:v>
      </x:c>
      <x:c r="Q50" s="70" t="n">
        <x:v>1.8166</x:v>
      </x:c>
      <x:c r="R50" s="68" t="n">
        <x:v>0.0053</x:v>
      </x:c>
      <x:c r="S50" s="68" t="n">
        <x:v>0.039785</x:v>
      </x:c>
      <x:c r="T50" s="68" t="n">
        <x:v>0.0053</x:v>
      </x:c>
      <x:c r="U50" s="68" t="n">
        <x:v>0.069</x:v>
      </x:c>
      <x:c r="V50" s="71" t="n">
        <x:v>236.17</x:v>
      </x:c>
      <x:c r="W50" s="71" t="n">
        <x:v>41.48744448</x:v>
      </x:c>
      <x:c r="X50" s="71" t="n">
        <x:v>2.58637648</x:v>
      </x:c>
      <x:c r="Y50" s="68" t="n">
        <x:v>0.0695</x:v>
      </x:c>
      <x:c r="Z50" s="68" t="n">
        <x:v>0.2852</x:v>
      </x:c>
      <x:c r="AA50" s="68" t="n">
        <x:v>0.092</x:v>
      </x:c>
      <x:c r="AB50" s="68" t="n">
        <x:v>8.123792032009199</x:v>
      </x:c>
      <x:c r="AC50" s="68" t="n">
        <x:v>0.4808</x:v>
      </x:c>
      <x:c r="AD50" s="60" t="str">
        <x:v>同行估值 88、行业地位 87</x:v>
      </x:c>
      <x:c r="AE50" s="60" t="str">
        <x:v>盈利能力 59、稳健性 64</x:v>
      </x:c>
    </x:row>
    <x:row r="51" ht="39.599998474121094" hidden="0" customHeight="1">
      <x:c r="A51" s="60" t="str">
        <x:v>历史深度低估</x:v>
      </x:c>
      <x:c r="B51" s="66" t="str">
        <x:v>002032.SZ</x:v>
      </x:c>
      <x:c r="C51" s="60" t="str">
        <x:v>苏 泊 尔</x:v>
      </x:c>
      <x:c r="D51" s="60" t="str">
        <x:v>家电</x:v>
      </x:c>
      <x:c r="E51" s="60" t="str">
        <x:v>小家电</x:v>
      </x:c>
      <x:c r="F51" s="60" t="str">
        <x:v>厨房小家电</x:v>
      </x:c>
      <x:c r="G51" s="61" t="n">
        <x:v>1</x:v>
      </x:c>
      <x:c r="H51" s="67" t="n">
        <x:v>76.1833</x:v>
      </x:c>
      <x:c r="I51" s="68" t="n">
        <x:v>1</x:v>
      </x:c>
      <x:c r="J51" s="69" t="str">
        <x:v>历史极低位</x:v>
      </x:c>
      <x:c r="K51" s="69" t="str">
        <x:v>完整</x:v>
      </x:c>
      <x:c r="L51" s="69" t="str">
        <x:v>2026-08-19</x:v>
      </x:c>
      <x:c r="M51" s="69" t="str">
        <x:v>2026-08-24</x:v>
      </x:c>
      <x:c r="N51" s="70" t="n">
        <x:v>40.98</x:v>
      </x:c>
      <x:c r="O51" s="70" t="n">
        <x:v>15.5709</x:v>
      </x:c>
      <x:c r="P51" s="68" t="n">
        <x:v>0.0053</x:v>
      </x:c>
      <x:c r="Q51" s="70" t="n">
        <x:v>4.8292</x:v>
      </x:c>
      <x:c r="R51" s="68" t="n">
        <x:v>0.0421</x:v>
      </x:c>
      <x:c r="S51" s="68" t="n">
        <x:v>0.064178</x:v>
      </x:c>
      <x:c r="T51" s="68" t="n">
        <x:v>0.1331</x:v>
      </x:c>
      <x:c r="U51" s="68" t="n">
        <x:v>0.0602</x:v>
      </x:c>
      <x:c r="V51" s="71" t="n">
        <x:v>323.46</x:v>
      </x:c>
      <x:c r="W51" s="71" t="n">
        <x:v>58.74496512</x:v>
      </x:c>
      <x:c r="X51" s="71" t="n">
        <x:v>7.30584512</x:v>
      </x:c>
      <x:c r="Y51" s="68" t="n">
        <x:v>0.3508</x:v>
      </x:c>
      <x:c r="Z51" s="68" t="n">
        <x:v>0.2487</x:v>
      </x:c>
      <x:c r="AA51" s="68" t="n">
        <x:v>0.092</x:v>
      </x:c>
      <x:c r="AB51" s="68" t="n">
        <x:v>1.7703875551087511</x:v>
      </x:c>
      <x:c r="AC51" s="68" t="n">
        <x:v>0.529</x:v>
      </x:c>
      <x:c r="AD51" s="60" t="str">
        <x:v>行业地位 100、盈利能力 79</x:v>
      </x:c>
      <x:c r="AE51" s="60" t="str">
        <x:v>稳健性 35、同行估值 69</x:v>
      </x:c>
    </x:row>
    <x:row r="52" ht="39.599998474121094" hidden="0" customHeight="1">
      <x:c r="A52" s="60" t="str">
        <x:v>历史深度低估</x:v>
      </x:c>
      <x:c r="B52" s="66" t="str">
        <x:v>605183.SH</x:v>
      </x:c>
      <x:c r="C52" s="60" t="str">
        <x:v>确成股份</x:v>
      </x:c>
      <x:c r="D52" s="60" t="str">
        <x:v>化工</x:v>
      </x:c>
      <x:c r="E52" s="60" t="str">
        <x:v>橡胶</x:v>
      </x:c>
      <x:c r="F52" s="60" t="str">
        <x:v>炭黑</x:v>
      </x:c>
      <x:c r="G52" s="61" t="n">
        <x:v>1</x:v>
      </x:c>
      <x:c r="H52" s="67" t="n">
        <x:v>75.875</x:v>
      </x:c>
      <x:c r="I52" s="68" t="n">
        <x:v>1</x:v>
      </x:c>
      <x:c r="J52" s="69" t="str">
        <x:v>历史极低位</x:v>
      </x:c>
      <x:c r="K52" s="69" t="str">
        <x:v>完整</x:v>
      </x:c>
      <x:c r="L52" s="69" t="str">
        <x:v>2026-08-19</x:v>
      </x:c>
      <x:c r="M52" s="69" t="str">
        <x:v>2026-08-24</x:v>
      </x:c>
      <x:c r="N52" s="70" t="n">
        <x:v>14.35</x:v>
      </x:c>
      <x:c r="O52" s="70" t="n">
        <x:v>13.5931</x:v>
      </x:c>
      <x:c r="P52" s="68" t="n">
        <x:v>0.0907</x:v>
      </x:c>
      <x:c r="Q52" s="70" t="n">
        <x:v>1.5734</x:v>
      </x:c>
      <x:c r="R52" s="68" t="n">
        <x:v>0.013000000000000001</x:v>
      </x:c>
      <x:c r="S52" s="68" t="n">
        <x:v>0.027875</x:v>
      </x:c>
      <x:c r="T52" s="68" t="n">
        <x:v>0.16829999999999998</x:v>
      </x:c>
      <x:c r="U52" s="68" t="n">
        <x:v>0.0907</x:v>
      </x:c>
      <x:c r="V52" s="71" t="n">
        <x:v>59.87</x:v>
      </x:c>
      <x:c r="W52" s="71" t="n">
        <x:v>5.66960576</x:v>
      </x:c>
      <x:c r="X52" s="71" t="n">
        <x:v>0.9949536</x:v>
      </x:c>
      <x:c r="Y52" s="68" t="n">
        <x:v>0.1407</x:v>
      </x:c>
      <x:c r="Z52" s="68" t="n">
        <x:v>0.3492</x:v>
      </x:c>
      <x:c r="AA52" s="68" t="n">
        <x:v>0.2237</x:v>
      </x:c>
      <x:c r="AB52" s="68" t="n">
        <x:v>0.5462548203252895</x:v>
      </x:c>
      <x:c r="AC52" s="68" t="n">
        <x:v>0.1436</x:v>
      </x:c>
      <x:c r="AD52" s="60" t="str">
        <x:v>盈利能力 90、成长稳定 88</x:v>
      </x:c>
      <x:c r="AE52" s="60" t="str">
        <x:v>现金流 52、行业地位 70</x:v>
      </x:c>
    </x:row>
    <x:row r="53" ht="39.599998474121094" hidden="0" customHeight="1">
      <x:c r="A53" s="60" t="str">
        <x:v>历史深度低估</x:v>
      </x:c>
      <x:c r="B53" s="66" t="str">
        <x:v>601139.SH</x:v>
      </x:c>
      <x:c r="C53" s="60" t="str">
        <x:v>深圳燃气</x:v>
      </x:c>
      <x:c r="D53" s="60" t="str">
        <x:v>公用事业</x:v>
      </x:c>
      <x:c r="E53" s="60" t="str">
        <x:v>燃气</x:v>
      </x:c>
      <x:c r="F53" s="60" t="str">
        <x:v>燃气</x:v>
      </x:c>
      <x:c r="G53" s="61" t="n">
        <x:v>1</x:v>
      </x:c>
      <x:c r="H53" s="67" t="n">
        <x:v>75.7455</x:v>
      </x:c>
      <x:c r="I53" s="68" t="n">
        <x:v>1</x:v>
      </x:c>
      <x:c r="J53" s="69" t="str">
        <x:v>历史极低位</x:v>
      </x:c>
      <x:c r="K53" s="69" t="str">
        <x:v>完整</x:v>
      </x:c>
      <x:c r="L53" s="69" t="str">
        <x:v>2026-08-19</x:v>
      </x:c>
      <x:c r="M53" s="69" t="str">
        <x:v>2026-08-24</x:v>
      </x:c>
      <x:c r="N53" s="70" t="n">
        <x:v>6.35</x:v>
      </x:c>
      <x:c r="O53" s="70" t="n">
        <x:v>12.6689</x:v>
      </x:c>
      <x:c r="P53" s="68" t="n">
        <x:v>0.053</x:v>
      </x:c>
      <x:c r="Q53" s="70" t="n">
        <x:v>1.0922</x:v>
      </x:c>
      <x:c r="R53" s="68" t="n">
        <x:v>0.029500000000000002</x:v>
      </x:c>
      <x:c r="S53" s="68" t="n">
        <x:v>0.025196999999999997</x:v>
      </x:c>
      <x:c r="T53" s="68" t="n">
        <x:v>0.1479</x:v>
      </x:c>
      <x:c r="U53" s="68" t="n">
        <x:v>0.0768</x:v>
      </x:c>
      <x:c r="V53" s="71" t="n">
        <x:v>180.95</x:v>
      </x:c>
      <x:c r="W53" s="71" t="n">
        <x:v>72.72494592</x:v>
      </x:c>
      <x:c r="X53" s="71" t="n">
        <x:v>4.90442976</x:v>
      </x:c>
      <x:c r="Y53" s="68" t="n">
        <x:v>0.08810000000000001</x:v>
      </x:c>
      <x:c r="Z53" s="68" t="n">
        <x:v>0.1764</x:v>
      </x:c>
      <x:c r="AA53" s="68" t="n">
        <x:v>0.0506</x:v>
      </x:c>
      <x:c r="AB53" s="68" t="n">
        <x:v>4.150916366676643</x:v>
      </x:c>
      <x:c r="AC53" s="68" t="n">
        <x:v>0.5992000000000001</x:v>
      </x:c>
      <x:c r="AD53" s="60" t="str">
        <x:v>行业地位 91、成长稳定 84</x:v>
      </x:c>
      <x:c r="AE53" s="60" t="str">
        <x:v>稳健性 54、盈利能力 60</x:v>
      </x:c>
    </x:row>
    <x:row r="54" ht="39.599998474121094" hidden="0" customHeight="1">
      <x:c r="A54" s="60" t="str">
        <x:v>历史深度低估</x:v>
      </x:c>
      <x:c r="B54" s="66" t="str">
        <x:v>600406.SH</x:v>
      </x:c>
      <x:c r="C54" s="60" t="str">
        <x:v>国电南瑞</x:v>
      </x:c>
      <x:c r="D54" s="60" t="str">
        <x:v>电力设备</x:v>
      </x:c>
      <x:c r="E54" s="60" t="str">
        <x:v>电网设备</x:v>
      </x:c>
      <x:c r="F54" s="60" t="str">
        <x:v>电网自动化</x:v>
      </x:c>
      <x:c r="G54" s="61" t="n">
        <x:v>2</x:v>
      </x:c>
      <x:c r="H54" s="67" t="n">
        <x:v>75.5765</x:v>
      </x:c>
      <x:c r="I54" s="68" t="n">
        <x:v>1</x:v>
      </x:c>
      <x:c r="J54" s="69" t="str">
        <x:v>历史极低位</x:v>
      </x:c>
      <x:c r="K54" s="69" t="str">
        <x:v>完整</x:v>
      </x:c>
      <x:c r="L54" s="69" t="str">
        <x:v>2026-08-19</x:v>
      </x:c>
      <x:c r="M54" s="69" t="str">
        <x:v>2026-08-24</x:v>
      </x:c>
      <x:c r="N54" s="70" t="n">
        <x:v>23.51</x:v>
      </x:c>
      <x:c r="O54" s="70" t="n">
        <x:v>22.6953</x:v>
      </x:c>
      <x:c r="P54" s="68" t="n">
        <x:v>0.0412</x:v>
      </x:c>
      <x:c r="Q54" s="70" t="n">
        <x:v>3.5299</x:v>
      </x:c>
      <x:c r="R54" s="68" t="n">
        <x:v>0.0452</x:v>
      </x:c>
      <x:c r="S54" s="68" t="n">
        <x:v>0.026457</x:v>
      </x:c>
      <x:c r="T54" s="68" t="n">
        <x:v>0.1362</x:v>
      </x:c>
      <x:c r="U54" s="68" t="n">
        <x:v>0.0742</x:v>
      </x:c>
      <x:c r="V54" s="71" t="n">
        <x:v>1868.99</x:v>
      </x:c>
      <x:c r="W54" s="71" t="n">
        <x:v>276.52456448</x:v>
      </x:c>
      <x:c r="X54" s="71" t="n">
        <x:v>34.23690752</x:v>
      </x:c>
      <x:c r="Y54" s="68" t="n">
        <x:v>0.16260000000000002</x:v>
      </x:c>
      <x:c r="Z54" s="68" t="n">
        <x:v>0.2584</x:v>
      </x:c>
      <x:c r="AA54" s="68" t="n">
        <x:v>0.13369999999999999</x:v>
      </x:c>
      <x:c r="AB54" s="68" t="n">
        <x:v>2.3526048558254833</x:v>
      </x:c>
      <x:c r="AC54" s="68" t="n">
        <x:v>0.42729999999999996</x:v>
      </x:c>
      <x:c r="AD54" s="60" t="str">
        <x:v>行业地位 100、成长稳定 84</x:v>
      </x:c>
      <x:c r="AE54" s="60" t="str">
        <x:v>稳健性 41、现金流 51</x:v>
      </x:c>
    </x:row>
    <x:row r="55" ht="39.599998474121094" hidden="0" customHeight="1">
      <x:c r="A55" s="60" t="str">
        <x:v>历史深度低估</x:v>
      </x:c>
      <x:c r="B55" s="66" t="str">
        <x:v>002410.SZ</x:v>
      </x:c>
      <x:c r="C55" s="60" t="str">
        <x:v>广联达</x:v>
      </x:c>
      <x:c r="D55" s="60" t="str">
        <x:v>计算机</x:v>
      </x:c>
      <x:c r="E55" s="60" t="str">
        <x:v>云服务</x:v>
      </x:c>
      <x:c r="F55" s="60" t="str">
        <x:v>云软件服务</x:v>
      </x:c>
      <x:c r="G55" s="61" t="n">
        <x:v>2</x:v>
      </x:c>
      <x:c r="H55" s="67" t="n">
        <x:v>75.502</x:v>
      </x:c>
      <x:c r="I55" s="68" t="n">
        <x:v>1</x:v>
      </x:c>
      <x:c r="J55" s="69" t="str">
        <x:v>历史极低位</x:v>
      </x:c>
      <x:c r="K55" s="69" t="str">
        <x:v>完整</x:v>
      </x:c>
      <x:c r="L55" s="69" t="str">
        <x:v>2026-08-19</x:v>
      </x:c>
      <x:c r="M55" s="69" t="str">
        <x:v>2026-08-24</x:v>
      </x:c>
      <x:c r="N55" s="70" t="n">
        <x:v>8.87</x:v>
      </x:c>
      <x:c r="O55" s="70" t="n">
        <x:v>35.7841</x:v>
      </x:c>
      <x:c r="P55" s="68" t="n">
        <x:v>0.0323</x:v>
      </x:c>
      <x:c r="Q55" s="70" t="n">
        <x:v>2.4111</x:v>
      </x:c>
      <x:c r="R55" s="68" t="n">
        <x:v>0.0225</x:v>
      </x:c>
      <x:c r="S55" s="68" t="n">
        <x:v>0.025929999999999998</x:v>
      </x:c>
      <x:c r="T55" s="68" t="n">
        <x:v>0.10039999999999999</x:v>
      </x:c>
      <x:c r="U55" s="68" t="n">
        <x:v>0.051699999999999996</x:v>
      </x:c>
      <x:c r="V55" s="71" t="n">
        <x:v>147.02</x:v>
      </x:c>
      <x:c r="W55" s="71" t="n">
        <x:v>17.98721152</x:v>
      </x:c>
      <x:c r="X55" s="71" t="n">
        <x:v>0.93978392</x:v>
      </x:c>
      <x:c r="Y55" s="68" t="n">
        <x:v>0.068</x:v>
      </x:c>
      <x:c r="Z55" s="68" t="n">
        <x:v>0.8588</x:v>
      </x:c>
      <x:c r="AA55" s="68" t="n">
        <x:v>0.0727</x:v>
      </x:c>
      <x:c r="AB55" s="68" t="n">
        <x:v>12.688048886812194</x:v>
      </x:c>
      <x:c r="AC55" s="68" t="n">
        <x:v>0.39049999999999996</x:v>
      </x:c>
      <x:c r="AD55" s="60" t="str">
        <x:v>同行估值 93、盈利能力 81</x:v>
      </x:c>
      <x:c r="AE55" s="60" t="str">
        <x:v>成长稳定 61、现金流 63</x:v>
      </x:c>
    </x:row>
    <x:row r="56" ht="39.599998474121094" hidden="0" customHeight="1">
      <x:c r="A56" s="60" t="str">
        <x:v>历史深度低估</x:v>
      </x:c>
      <x:c r="B56" s="66" t="str">
        <x:v>002959.SZ</x:v>
      </x:c>
      <x:c r="C56" s="60" t="str">
        <x:v>小熊电器</x:v>
      </x:c>
      <x:c r="D56" s="60" t="str">
        <x:v>家电</x:v>
      </x:c>
      <x:c r="E56" s="60" t="str">
        <x:v>小家电</x:v>
      </x:c>
      <x:c r="F56" s="60" t="str">
        <x:v>厨房小家电</x:v>
      </x:c>
      <x:c r="G56" s="61" t="n">
        <x:v>2</x:v>
      </x:c>
      <x:c r="H56" s="67" t="n">
        <x:v>75.0667</x:v>
      </x:c>
      <x:c r="I56" s="68" t="n">
        <x:v>1</x:v>
      </x:c>
      <x:c r="J56" s="69" t="str">
        <x:v>历史极低位</x:v>
      </x:c>
      <x:c r="K56" s="69" t="str">
        <x:v>完整</x:v>
      </x:c>
      <x:c r="L56" s="69" t="str">
        <x:v>2026-08-19</x:v>
      </x:c>
      <x:c r="M56" s="69" t="str">
        <x:v>2026-08-24</x:v>
      </x:c>
      <x:c r="N56" s="70" t="n">
        <x:v>33.28</x:v>
      </x:c>
      <x:c r="O56" s="70" t="n">
        <x:v>15.1478</x:v>
      </x:c>
      <x:c r="P56" s="68" t="n">
        <x:v>0.02</x:v>
      </x:c>
      <x:c r="Q56" s="70" t="n">
        <x:v>1.6537</x:v>
      </x:c>
      <x:c r="R56" s="68" t="n">
        <x:v>0.0192</x:v>
      </x:c>
      <x:c r="S56" s="68" t="n">
        <x:v>0.039062</x:v>
      </x:c>
      <x:c r="T56" s="68" t="n">
        <x:v>0.0313</x:v>
      </x:c>
      <x:c r="U56" s="68" t="n">
        <x:v>0.0235</x:v>
      </x:c>
      <x:c r="V56" s="71" t="n">
        <x:v>50.69</x:v>
      </x:c>
      <x:c r="W56" s="71" t="n">
        <x:v>15.38973568</x:v>
      </x:c>
      <x:c r="X56" s="71" t="n">
        <x:v>1.46628016</x:v>
      </x:c>
      <x:c r="Y56" s="68" t="n">
        <x:v>0.1334</x:v>
      </x:c>
      <x:c r="Z56" s="68" t="n">
        <x:v>0.3667</x:v>
      </x:c>
      <x:c r="AA56" s="68" t="n">
        <x:v>0.0802</x:v>
      </x:c>
      <x:c r="AB56" s="68" t="n">
        <x:v>1.9381485731894508</x:v>
      </x:c>
      <x:c r="AC56" s="68" t="n">
        <x:v>0.4576</x:v>
      </x:c>
      <x:c r="AD56" s="60" t="str">
        <x:v>成长稳定 84、同行估值 82</x:v>
      </x:c>
      <x:c r="AE56" s="60" t="str">
        <x:v>现金流 60、稳健性 69</x:v>
      </x:c>
    </x:row>
    <x:row r="57" ht="39.599998474121094" hidden="0" customHeight="1">
      <x:c r="A57" s="60" t="str">
        <x:v>历史深度低估</x:v>
      </x:c>
      <x:c r="B57" s="66" t="str">
        <x:v>300957.SZ</x:v>
      </x:c>
      <x:c r="C57" s="60" t="str">
        <x:v>贝泰妮</x:v>
      </x:c>
      <x:c r="D57" s="60" t="str">
        <x:v>化工</x:v>
      </x:c>
      <x:c r="E57" s="60" t="str">
        <x:v>日用化工</x:v>
      </x:c>
      <x:c r="F57" s="60" t="str">
        <x:v>化妆品</x:v>
      </x:c>
      <x:c r="G57" s="61" t="n">
        <x:v>2</x:v>
      </x:c>
      <x:c r="H57" s="67" t="n">
        <x:v>75.0202</x:v>
      </x:c>
      <x:c r="I57" s="68" t="n">
        <x:v>1</x:v>
      </x:c>
      <x:c r="J57" s="69" t="str">
        <x:v>历史极低位</x:v>
      </x:c>
      <x:c r="K57" s="69" t="str">
        <x:v>完整</x:v>
      </x:c>
      <x:c r="L57" s="69" t="str">
        <x:v>2026-08-19</x:v>
      </x:c>
      <x:c r="M57" s="69" t="str">
        <x:v>2026-08-24</x:v>
      </x:c>
      <x:c r="N57" s="70" t="n">
        <x:v>30.84</x:v>
      </x:c>
      <x:c r="O57" s="70" t="n">
        <x:v>24.0433</x:v>
      </x:c>
      <x:c r="P57" s="68" t="n">
        <x:v>0.056799999999999996</x:v>
      </x:c>
      <x:c r="Q57" s="70" t="n">
        <x:v>2.1426</x:v>
      </x:c>
      <x:c r="R57" s="68" t="n">
        <x:v>0.0053</x:v>
      </x:c>
      <x:c r="S57" s="68" t="n">
        <x:v>0.021077</x:v>
      </x:c>
      <x:c r="T57" s="68" t="n">
        <x:v>0.0492</x:v>
      </x:c>
      <x:c r="U57" s="68" t="n">
        <x:v>0.0371</x:v>
      </x:c>
      <x:c r="V57" s="71" t="n">
        <x:v>131.53</x:v>
      </x:c>
      <x:c r="W57" s="71" t="n">
        <x:v>18.9436416</x:v>
      </x:c>
      <x:c r="X57" s="71" t="n">
        <x:v>2.33840928</x:v>
      </x:c>
      <x:c r="Y57" s="68" t="n">
        <x:v>0.08199999999999999</x:v>
      </x:c>
      <x:c r="Z57" s="68" t="n">
        <x:v>0.7445999999999999</x:v>
      </x:c>
      <x:c r="AA57" s="68" t="n">
        <x:v>0.0964</x:v>
      </x:c>
      <x:c r="AB57" s="68" t="n">
        <x:v>2.2866661220229165</x:v>
      </x:c>
      <x:c r="AC57" s="68" t="n">
        <x:v>0.24420000000000003</x:v>
      </x:c>
      <x:c r="AD57" s="60" t="str">
        <x:v>行业地位 90、稳健性 80</x:v>
      </x:c>
      <x:c r="AE57" s="60" t="str">
        <x:v>现金流 36、同行估值 76</x:v>
      </x:c>
    </x:row>
    <x:row r="58" ht="39.599998474121094" hidden="0" customHeight="1">
      <x:c r="A58" s="60" t="str">
        <x:v>历史深度低估</x:v>
      </x:c>
      <x:c r="B58" s="66" t="str">
        <x:v>600862.SH</x:v>
      </x:c>
      <x:c r="C58" s="60" t="str">
        <x:v>中航高科</x:v>
      </x:c>
      <x:c r="D58" s="60" t="str">
        <x:v>国防军工</x:v>
      </x:c>
      <x:c r="E58" s="60" t="str">
        <x:v>航空装备</x:v>
      </x:c>
      <x:c r="F58" s="60" t="str">
        <x:v>航空装备</x:v>
      </x:c>
      <x:c r="G58" s="61" t="n">
        <x:v>1</x:v>
      </x:c>
      <x:c r="H58" s="67" t="n">
        <x:v>74.8626</x:v>
      </x:c>
      <x:c r="I58" s="68" t="n">
        <x:v>1</x:v>
      </x:c>
      <x:c r="J58" s="69" t="str">
        <x:v>历史极低位</x:v>
      </x:c>
      <x:c r="K58" s="69" t="str">
        <x:v>完整</x:v>
      </x:c>
      <x:c r="L58" s="69" t="str">
        <x:v>2026-08-19</x:v>
      </x:c>
      <x:c r="M58" s="69" t="str">
        <x:v>2026-08-24</x:v>
      </x:c>
      <x:c r="N58" s="70" t="n">
        <x:v>17.36</x:v>
      </x:c>
      <x:c r="O58" s="70" t="n">
        <x:v>26.1739</x:v>
      </x:c>
      <x:c r="P58" s="68" t="n">
        <x:v>0.075</x:v>
      </x:c>
      <x:c r="Q58" s="70" t="n">
        <x:v>3.0496</x:v>
      </x:c>
      <x:c r="R58" s="68" t="n">
        <x:v>0.0051</x:v>
      </x:c>
      <x:c r="S58" s="68" t="n">
        <x:v>0.012846</x:v>
      </x:c>
      <x:c r="T58" s="68" t="n">
        <x:v>0.021400000000000002</x:v>
      </x:c>
      <x:c r="U58" s="68" t="n">
        <x:v>0.0338</x:v>
      </x:c>
      <x:c r="V58" s="71" t="n">
        <x:v>243.92</x:v>
      </x:c>
      <x:c r="W58" s="71" t="n">
        <x:v>12.46343424</x:v>
      </x:c>
      <x:c r="X58" s="71" t="n">
        <x:v>2.24542976</x:v>
      </x:c>
      <x:c r="Y58" s="68" t="n">
        <x:v>0.1394</x:v>
      </x:c>
      <x:c r="Z58" s="68" t="n">
        <x:v>0.376</x:v>
      </x:c>
      <x:c r="AA58" s="68" t="n">
        <x:v>0.20629999999999998</x:v>
      </x:c>
      <x:c r="AB58" s="68" t="n">
        <x:v>0.7771456988260457</x:v>
      </x:c>
      <x:c r="AC58" s="68" t="n">
        <x:v>0.1981</x:v>
      </x:c>
      <x:c r="AD58" s="60" t="str">
        <x:v>盈利能力 87、同行估值 86</x:v>
      </x:c>
      <x:c r="AE58" s="60" t="str">
        <x:v>现金流 45、稳健性 47</x:v>
      </x:c>
    </x:row>
    <x:row r="59" ht="39.599998474121094" hidden="0" customHeight="1">
      <x:c r="A59" s="60" t="str">
        <x:v>历史深度低估</x:v>
      </x:c>
      <x:c r="B59" s="66" t="str">
        <x:v>605116.SH</x:v>
      </x:c>
      <x:c r="C59" s="60" t="str">
        <x:v>奥锐特</x:v>
      </x:c>
      <x:c r="D59" s="60" t="str">
        <x:v>医药医疗</x:v>
      </x:c>
      <x:c r="E59" s="60" t="str">
        <x:v>化学制药</x:v>
      </x:c>
      <x:c r="F59" s="60" t="str">
        <x:v>原料药</x:v>
      </x:c>
      <x:c r="G59" s="61" t="n">
        <x:v>2</x:v>
      </x:c>
      <x:c r="H59" s="67" t="n">
        <x:v>74.6374</x:v>
      </x:c>
      <x:c r="I59" s="68" t="n">
        <x:v>1</x:v>
      </x:c>
      <x:c r="J59" s="69" t="str">
        <x:v>历史极低位</x:v>
      </x:c>
      <x:c r="K59" s="69" t="str">
        <x:v>完整</x:v>
      </x:c>
      <x:c r="L59" s="69" t="str">
        <x:v>2026-08-19</x:v>
      </x:c>
      <x:c r="M59" s="69" t="str">
        <x:v>2026-08-24</x:v>
      </x:c>
      <x:c r="N59" s="70" t="n">
        <x:v>20</x:v>
      </x:c>
      <x:c r="O59" s="70" t="n">
        <x:v>20.6331</x:v>
      </x:c>
      <x:c r="P59" s="68" t="n">
        <x:v>0.0302</x:v>
      </x:c>
      <x:c r="Q59" s="70" t="n">
        <x:v>2.9884</x:v>
      </x:c>
      <x:c r="R59" s="68" t="n">
        <x:v>0.0302</x:v>
      </x:c>
      <x:c r="S59" s="68" t="n">
        <x:v>0.017</x:v>
      </x:c>
      <x:c r="T59" s="68" t="n">
        <x:v>0.022099999999999998</x:v>
      </x:c>
      <x:c r="U59" s="68" t="n">
        <x:v>0.0275</x:v>
      </x:c>
      <x:c r="V59" s="71" t="n">
        <x:v>79.12</x:v>
      </x:c>
      <x:c r="W59" s="71" t="n">
        <x:v>4.6042496</x:v>
      </x:c>
      <x:c r="X59" s="71" t="n">
        <x:v>0.95669424</x:v>
      </x:c>
      <x:c r="Y59" s="68" t="n">
        <x:v>0.2205</x:v>
      </x:c>
      <x:c r="Z59" s="68" t="n">
        <x:v>0.5967</x:v>
      </x:c>
      <x:c r="AA59" s="68" t="n">
        <x:v>0.2646</x:v>
      </x:c>
      <x:c r="AB59" s="68" t="n">
        <x:v>0.7319814113232248</x:v>
      </x:c>
      <x:c r="AC59" s="68" t="n">
        <x:v>0.3705</x:v>
      </x:c>
      <x:c r="AD59" s="60" t="str">
        <x:v>盈利能力 99、成长稳定 91</x:v>
      </x:c>
      <x:c r="AE59" s="60" t="str">
        <x:v>现金流 49、稳健性 50</x:v>
      </x:c>
    </x:row>
    <x:row r="60" ht="39.599998474121094" hidden="0" customHeight="1">
      <x:c r="A60" s="60" t="str">
        <x:v>历史深度低估</x:v>
      </x:c>
      <x:c r="B60" s="66" t="str">
        <x:v>002920.SZ</x:v>
      </x:c>
      <x:c r="C60" s="60" t="str">
        <x:v>德赛西威</x:v>
      </x:c>
      <x:c r="D60" s="60" t="str">
        <x:v>汽车</x:v>
      </x:c>
      <x:c r="E60" s="60" t="str">
        <x:v>汽车零部件</x:v>
      </x:c>
      <x:c r="F60" s="60" t="str">
        <x:v>汽车电子电气系统</x:v>
      </x:c>
      <x:c r="G60" s="61" t="n">
        <x:v>1</x:v>
      </x:c>
      <x:c r="H60" s="67" t="n">
        <x:v>74.1827</x:v>
      </x:c>
      <x:c r="I60" s="68" t="n">
        <x:v>1</x:v>
      </x:c>
      <x:c r="J60" s="69" t="str">
        <x:v>历史极低位</x:v>
      </x:c>
      <x:c r="K60" s="69" t="str">
        <x:v>完整</x:v>
      </x:c>
      <x:c r="L60" s="69" t="str">
        <x:v>2026-08-19</x:v>
      </x:c>
      <x:c r="M60" s="69" t="str">
        <x:v>2026-08-24</x:v>
      </x:c>
      <x:c r="N60" s="70" t="n">
        <x:v>84.66</x:v>
      </x:c>
      <x:c r="O60" s="70" t="n">
        <x:v>21.6587</x:v>
      </x:c>
      <x:c r="P60" s="68" t="n">
        <x:v>0.0176</x:v>
      </x:c>
      <x:c r="Q60" s="70" t="n">
        <x:v>3.333</x:v>
      </x:c>
      <x:c r="R60" s="68" t="n">
        <x:v>0.0176</x:v>
      </x:c>
      <x:c r="S60" s="68" t="n">
        <x:v>0.014764999999999999</x:v>
      </x:c>
      <x:c r="T60" s="68" t="n">
        <x:v>0.030600000000000002</x:v>
      </x:c>
      <x:c r="U60" s="68" t="n">
        <x:v>0.0219</x:v>
      </x:c>
      <x:c r="V60" s="71" t="n">
        <x:v>516.78</x:v>
      </x:c>
      <x:c r="W60" s="71" t="n">
        <x:v>102.20626944</x:v>
      </x:c>
      <x:c r="X60" s="71" t="n">
        <x:v>6.65869568</x:v>
      </x:c>
      <x:c r="Y60" s="68" t="n">
        <x:v>0.2167</x:v>
      </x:c>
      <x:c r="Z60" s="68" t="n">
        <x:v>0.1907</x:v>
      </x:c>
      <x:c r="AA60" s="68" t="n">
        <x:v>0.076</x:v>
      </x:c>
      <x:c r="AB60" s="68" t="n">
        <x:v>0.9374341853087961</x:v>
      </x:c>
      <x:c r="AC60" s="68" t="n">
        <x:v>0.47859999999999997</x:v>
      </x:c>
      <x:c r="AD60" s="60" t="str">
        <x:v>行业地位 99、成长稳定 85</x:v>
      </x:c>
      <x:c r="AE60" s="60" t="str">
        <x:v>稳健性 46、现金流 48</x:v>
      </x:c>
    </x:row>
    <x:row r="61" ht="39.599998474121094" hidden="0" customHeight="1">
      <x:c r="A61" s="60" t="str">
        <x:v>历史深度低估</x:v>
      </x:c>
      <x:c r="B61" s="66" t="str">
        <x:v>600809.SH</x:v>
      </x:c>
      <x:c r="C61" s="60" t="str">
        <x:v>山西汾酒</x:v>
      </x:c>
      <x:c r="D61" s="60" t="str">
        <x:v>食品饮料</x:v>
      </x:c>
      <x:c r="E61" s="60" t="str">
        <x:v>酿酒</x:v>
      </x:c>
      <x:c r="F61" s="60" t="str">
        <x:v>白酒</x:v>
      </x:c>
      <x:c r="G61" s="61" t="n">
        <x:v>2</x:v>
      </x:c>
      <x:c r="H61" s="67" t="n">
        <x:v>74.1718</x:v>
      </x:c>
      <x:c r="I61" s="68" t="n">
        <x:v>1</x:v>
      </x:c>
      <x:c r="J61" s="69" t="str">
        <x:v>历史极低位</x:v>
      </x:c>
      <x:c r="K61" s="69" t="str">
        <x:v>完整</x:v>
      </x:c>
      <x:c r="L61" s="69" t="str">
        <x:v>2026-08-19</x:v>
      </x:c>
      <x:c r="M61" s="69" t="str">
        <x:v>2026-08-24</x:v>
      </x:c>
      <x:c r="N61" s="70" t="n">
        <x:v>119.3</x:v>
      </x:c>
      <x:c r="O61" s="70" t="n">
        <x:v>13.2536</x:v>
      </x:c>
      <x:c r="P61" s="68" t="n">
        <x:v>0.0232</x:v>
      </x:c>
      <x:c r="Q61" s="70" t="n">
        <x:v>3.2326</x:v>
      </x:c>
      <x:c r="R61" s="68" t="n">
        <x:v>0.0232</x:v>
      </x:c>
      <x:c r="S61" s="68" t="n">
        <x:v>0.054987</x:v>
      </x:c>
      <x:c r="T61" s="68" t="n">
        <x:v>0.0053</x:v>
      </x:c>
      <x:c r="U61" s="68" t="n">
        <x:v>0.0172</x:v>
      </x:c>
      <x:c r="V61" s="71" t="n">
        <x:v>1428.58</x:v>
      </x:c>
      <x:c r="W61" s="71" t="n">
        <x:v>57.93841152</x:v>
      </x:c>
      <x:c r="X61" s="71" t="n">
        <x:v>8.41820288</x:v>
      </x:c>
      <x:c r="Y61" s="68" t="n">
        <x:v>0.3348</x:v>
      </x:c>
      <x:c r="Z61" s="68" t="n">
        <x:v>0.7484999999999999</x:v>
      </x:c>
      <x:c r="AA61" s="68" t="n">
        <x:v>0.3176</x:v>
      </x:c>
      <x:c r="AB61" s="68" t="n">
        <x:v>0.0373149239187735</x:v>
      </x:c>
      <x:c r="AC61" s="68" t="n">
        <x:v>0.2874</x:v>
      </x:c>
      <x:c r="AD61" s="60" t="str">
        <x:v>成长稳定 90、行业地位 89</x:v>
      </x:c>
      <x:c r="AE61" s="60" t="str">
        <x:v>现金流 29、稳健性 64</x:v>
      </x:c>
    </x:row>
    <x:row r="62" ht="39.599998474121094" hidden="0" customHeight="1">
      <x:c r="A62" s="60" t="str">
        <x:v>历史深度低估</x:v>
      </x:c>
      <x:c r="B62" s="66" t="str">
        <x:v>688100.SH</x:v>
      </x:c>
      <x:c r="C62" s="60" t="str">
        <x:v>威胜信息</x:v>
      </x:c>
      <x:c r="D62" s="60" t="str">
        <x:v>通信</x:v>
      </x:c>
      <x:c r="E62" s="60" t="str">
        <x:v>通信设备</x:v>
      </x:c>
      <x:c r="F62" s="60" t="str">
        <x:v>通信终端及配件</x:v>
      </x:c>
      <x:c r="G62" s="61" t="n">
        <x:v>2</x:v>
      </x:c>
      <x:c r="H62" s="67" t="n">
        <x:v>73.9722</x:v>
      </x:c>
      <x:c r="I62" s="68" t="n">
        <x:v>1</x:v>
      </x:c>
      <x:c r="J62" s="69" t="str">
        <x:v>历史极低位</x:v>
      </x:c>
      <x:c r="K62" s="69" t="str">
        <x:v>完整</x:v>
      </x:c>
      <x:c r="L62" s="69" t="str">
        <x:v>2026-08-19</x:v>
      </x:c>
      <x:c r="M62" s="69" t="str">
        <x:v>2026-08-24</x:v>
      </x:c>
      <x:c r="N62" s="70" t="n">
        <x:v>26.1</x:v>
      </x:c>
      <x:c r="O62" s="70" t="n">
        <x:v>19.0067</x:v>
      </x:c>
      <x:c r="P62" s="68" t="n">
        <x:v>0.0051</x:v>
      </x:c>
      <x:c r="Q62" s="70" t="n">
        <x:v>3.6256</x:v>
      </x:c>
      <x:c r="R62" s="68" t="n">
        <x:v>0.0169</x:v>
      </x:c>
      <x:c r="S62" s="68" t="n">
        <x:v>0.021072999999999998</x:v>
      </x:c>
      <x:c r="T62" s="68" t="n">
        <x:v>0.0805</x:v>
      </x:c>
      <x:c r="U62" s="68" t="n">
        <x:v>0.0342</x:v>
      </x:c>
      <x:c r="V62" s="71" t="n">
        <x:v>124</x:v>
      </x:c>
      <x:c r="W62" s="71" t="n">
        <x:v>8.65630208</x:v>
      </x:c>
      <x:c r="X62" s="71" t="n">
        <x:v>1.92078736</x:v>
      </x:c>
      <x:c r="Y62" s="68" t="n">
        <x:v>0.1971</x:v>
      </x:c>
      <x:c r="Z62" s="68" t="n">
        <x:v>0.4017</x:v>
      </x:c>
      <x:c r="AA62" s="68" t="n">
        <x:v>0.2238</x:v>
      </x:c>
      <x:c r="AB62" s="68" t="n">
        <x:v>0.601335485672917</x:v>
      </x:c>
      <x:c r="AC62" s="68" t="n">
        <x:v>0.3779</x:v>
      </x:c>
      <x:c r="AD62" s="60" t="str">
        <x:v>成长稳定 91、盈利能力 90</x:v>
      </x:c>
      <x:c r="AE62" s="60" t="str">
        <x:v>现金流 48、稳健性 50</x:v>
      </x:c>
    </x:row>
    <x:row r="63" ht="39.599998474121094" hidden="0" customHeight="1">
      <x:c r="A63" s="60" t="str">
        <x:v>历史深度低估</x:v>
      </x:c>
      <x:c r="B63" s="66" t="str">
        <x:v>603025.SH</x:v>
      </x:c>
      <x:c r="C63" s="60" t="str">
        <x:v>大豪科技</x:v>
      </x:c>
      <x:c r="D63" s="60" t="str">
        <x:v>机械设备</x:v>
      </x:c>
      <x:c r="E63" s="60" t="str">
        <x:v>自动化设备</x:v>
      </x:c>
      <x:c r="F63" s="60" t="str">
        <x:v>工业控制设备</x:v>
      </x:c>
      <x:c r="G63" s="61" t="n">
        <x:v>2</x:v>
      </x:c>
      <x:c r="H63" s="67" t="n">
        <x:v>73.7818</x:v>
      </x:c>
      <x:c r="I63" s="68" t="n">
        <x:v>1</x:v>
      </x:c>
      <x:c r="J63" s="69" t="str">
        <x:v>历史极低位</x:v>
      </x:c>
      <x:c r="K63" s="69" t="str">
        <x:v>完整</x:v>
      </x:c>
      <x:c r="L63" s="69" t="str">
        <x:v>2026-08-19</x:v>
      </x:c>
      <x:c r="M63" s="69" t="str">
        <x:v>2026-08-24</x:v>
      </x:c>
      <x:c r="N63" s="70" t="n">
        <x:v>13.8</x:v>
      </x:c>
      <x:c r="O63" s="70" t="n">
        <x:v>19.7646</x:v>
      </x:c>
      <x:c r="P63" s="68" t="n">
        <x:v>0.0259</x:v>
      </x:c>
      <x:c r="Q63" s="70" t="n">
        <x:v>5.1973</x:v>
      </x:c>
      <x:c r="R63" s="68" t="n">
        <x:v>0.0393</x:v>
      </x:c>
      <x:c r="S63" s="68" t="n">
        <x:v>0.032609</x:v>
      </x:c>
      <x:c r="T63" s="68" t="n">
        <x:v>0.045899999999999996</x:v>
      </x:c>
      <x:c r="U63" s="68" t="n">
        <x:v>0.037000000000000005</x:v>
      </x:c>
      <x:c r="V63" s="71" t="n">
        <x:v>150.75</x:v>
      </x:c>
      <x:c r="W63" s="71" t="n">
        <x:v>7.73881408</x:v>
      </x:c>
      <x:c r="X63" s="71" t="n">
        <x:v>1.09343288</x:v>
      </x:c>
      <x:c r="Y63" s="68" t="n">
        <x:v>0.28559999999999997</x:v>
      </x:c>
      <x:c r="Z63" s="68" t="n">
        <x:v>0.4337</x:v>
      </x:c>
      <x:c r="AA63" s="68" t="n">
        <x:v>0.2528</x:v>
      </x:c>
      <x:c r="AB63" s="68" t="n">
        <x:v>1.5196331026738468</x:v>
      </x:c>
      <x:c r="AC63" s="68" t="n">
        <x:v>0.38530000000000003</x:v>
      </x:c>
      <x:c r="AD63" s="60" t="str">
        <x:v>盈利能力 92、行业地位 82</x:v>
      </x:c>
      <x:c r="AE63" s="60" t="str">
        <x:v>稳健性 45、成长稳定 62</x:v>
      </x:c>
    </x:row>
    <x:row r="64" ht="39.599998474121094" hidden="0" customHeight="1">
      <x:c r="A64" s="60" t="str">
        <x:v>历史深度低估</x:v>
      </x:c>
      <x:c r="B64" s="66" t="str">
        <x:v>603233.SH</x:v>
      </x:c>
      <x:c r="C64" s="60" t="str">
        <x:v>大参林</x:v>
      </x:c>
      <x:c r="D64" s="60" t="str">
        <x:v>医药医疗</x:v>
      </x:c>
      <x:c r="E64" s="60" t="str">
        <x:v>医药商业</x:v>
      </x:c>
      <x:c r="F64" s="60" t="str">
        <x:v>线下药店</x:v>
      </x:c>
      <x:c r="G64" s="61" t="n">
        <x:v>2</x:v>
      </x:c>
      <x:c r="H64" s="67" t="n">
        <x:v>73.4416</x:v>
      </x:c>
      <x:c r="I64" s="68" t="n">
        <x:v>1</x:v>
      </x:c>
      <x:c r="J64" s="69" t="str">
        <x:v>历史极低位</x:v>
      </x:c>
      <x:c r="K64" s="69" t="str">
        <x:v>完整</x:v>
      </x:c>
      <x:c r="L64" s="69" t="str">
        <x:v>2026-08-19</x:v>
      </x:c>
      <x:c r="M64" s="69" t="str">
        <x:v>2026-08-24</x:v>
      </x:c>
      <x:c r="N64" s="70" t="n">
        <x:v>17.91</x:v>
      </x:c>
      <x:c r="O64" s="70" t="n">
        <x:v>15.8559</x:v>
      </x:c>
      <x:c r="P64" s="68" t="n">
        <x:v>0.0738</x:v>
      </x:c>
      <x:c r="Q64" s="70" t="n">
        <x:v>2.5913</x:v>
      </x:c>
      <x:c r="R64" s="68" t="n">
        <x:v>0.1681</x:v>
      </x:c>
      <x:c r="S64" s="68" t="n">
        <x:v>0.046342999999999995</x:v>
      </x:c>
      <x:c r="T64" s="68" t="n">
        <x:v>0.013600000000000001</x:v>
      </x:c>
      <x:c r="U64" s="68" t="n">
        <x:v>0.0852</x:v>
      </x:c>
      <x:c r="V64" s="71" t="n">
        <x:v>197.71</x:v>
      </x:c>
      <x:c r="W64" s="71" t="n">
        <x:v>74.33942528</x:v>
      </x:c>
      <x:c r="X64" s="71" t="n">
        <x:v>1.54249872</x:v>
      </x:c>
      <x:c r="Y64" s="68" t="n">
        <x:v>0.1716</x:v>
      </x:c>
      <x:c r="Z64" s="68" t="n">
        <x:v>0.3432</x:v>
      </x:c>
      <x:c r="AA64" s="68" t="n">
        <x:v>0.049400000000000006</x:v>
      </x:c>
      <x:c r="AB64" s="68" t="n">
        <x:v>10.509420299551369</x:v>
      </x:c>
      <x:c r="AC64" s="68" t="n">
        <x:v>0.6729999999999999</x:v>
      </x:c>
      <x:c r="AD64" s="60" t="str">
        <x:v>行业地位 88、盈利能力 85</x:v>
      </x:c>
      <x:c r="AE64" s="60" t="str">
        <x:v>稳健性 26、同行估值 65</x:v>
      </x:c>
    </x:row>
    <x:row r="65" ht="39.599998474121094" hidden="0" customHeight="1">
      <x:c r="A65" s="60" t="str">
        <x:v>历史深度低估</x:v>
      </x:c>
      <x:c r="B65" s="66" t="str">
        <x:v>002906.SZ</x:v>
      </x:c>
      <x:c r="C65" s="60" t="str">
        <x:v>华阳集团</x:v>
      </x:c>
      <x:c r="D65" s="60" t="str">
        <x:v>汽车</x:v>
      </x:c>
      <x:c r="E65" s="60" t="str">
        <x:v>汽车零部件</x:v>
      </x:c>
      <x:c r="F65" s="60" t="str">
        <x:v>汽车电子电气系统</x:v>
      </x:c>
      <x:c r="G65" s="61" t="n">
        <x:v>2</x:v>
      </x:c>
      <x:c r="H65" s="67" t="n">
        <x:v>73.2055</x:v>
      </x:c>
      <x:c r="I65" s="68" t="n">
        <x:v>1</x:v>
      </x:c>
      <x:c r="J65" s="69" t="str">
        <x:v>历史极低位</x:v>
      </x:c>
      <x:c r="K65" s="69" t="str">
        <x:v>完整</x:v>
      </x:c>
      <x:c r="L65" s="69" t="str">
        <x:v>2026-08-17</x:v>
      </x:c>
      <x:c r="M65" s="69" t="str">
        <x:v>2026-08-24</x:v>
      </x:c>
      <x:c r="N65" s="70" t="n">
        <x:v>25.66</x:v>
      </x:c>
      <x:c r="O65" s="70" t="n">
        <x:v>17.0094</x:v>
      </x:c>
      <x:c r="P65" s="68" t="n">
        <x:v>0.0233</x:v>
      </x:c>
      <x:c r="Q65" s="70" t="n">
        <x:v>1.882</x:v>
      </x:c>
      <x:c r="R65" s="68" t="n">
        <x:v>0.025</x:v>
      </x:c>
      <x:c r="S65" s="68" t="n">
        <x:v>0.019486</x:v>
      </x:c>
      <x:c r="T65" s="68" t="n">
        <x:v>0.0478</x:v>
      </x:c>
      <x:c r="U65" s="68" t="n">
        <x:v>0.032</x:v>
      </x:c>
      <x:c r="V65" s="71" t="n">
        <x:v>148.18</x:v>
      </x:c>
      <x:c r="W65" s="71" t="n">
        <x:v>42.57419008</x:v>
      </x:c>
      <x:c r="X65" s="71" t="n">
        <x:v>2.20267808</x:v>
      </x:c>
      <x:c r="Y65" s="68" t="n">
        <x:v>0.1166</x:v>
      </x:c>
      <x:c r="Z65" s="68" t="n">
        <x:v>0.18359999999999999</x:v>
      </x:c>
      <x:c r="AA65" s="68" t="n">
        <x:v>0.0603</x:v>
      </x:c>
      <x:c r="AB65" s="68" t="n">
        <x:v>2.3741285698907033</x:v>
      </x:c>
      <x:c r="AC65" s="68" t="n">
        <x:v>0.5111</x:v>
      </x:c>
      <x:c r="AD65" s="60" t="str">
        <x:v>行业地位 89、同行估值 86</x:v>
      </x:c>
      <x:c r="AE65" s="60" t="str">
        <x:v>稳健性 54、盈利能力 58</x:v>
      </x:c>
    </x:row>
    <x:row r="66" ht="39.599998474121094" hidden="0" customHeight="1">
      <x:c r="A66" s="60" t="str">
        <x:v>历史深度低估</x:v>
      </x:c>
      <x:c r="B66" s="66" t="str">
        <x:v>002375.SZ</x:v>
      </x:c>
      <x:c r="C66" s="60" t="str">
        <x:v>亚厦股份</x:v>
      </x:c>
      <x:c r="D66" s="60" t="str">
        <x:v>建筑</x:v>
      </x:c>
      <x:c r="E66" s="60" t="str">
        <x:v>装修装饰</x:v>
      </x:c>
      <x:c r="F66" s="60" t="str">
        <x:v>装修装饰</x:v>
      </x:c>
      <x:c r="G66" s="61" t="n">
        <x:v>2</x:v>
      </x:c>
      <x:c r="H66" s="67" t="n">
        <x:v>73.1018</x:v>
      </x:c>
      <x:c r="I66" s="68" t="n">
        <x:v>1</x:v>
      </x:c>
      <x:c r="J66" s="69" t="str">
        <x:v>历史极低位</x:v>
      </x:c>
      <x:c r="K66" s="69" t="str">
        <x:v>完整</x:v>
      </x:c>
      <x:c r="L66" s="69" t="str">
        <x:v>2026-08-19</x:v>
      </x:c>
      <x:c r="M66" s="69" t="str">
        <x:v>2026-08-24</x:v>
      </x:c>
      <x:c r="N66" s="70" t="n">
        <x:v>3.58</x:v>
      </x:c>
      <x:c r="O66" s="70" t="n">
        <x:v>14.5859</x:v>
      </x:c>
      <x:c r="P66" s="68" t="n">
        <x:v>0.036699999999999997</x:v>
      </x:c>
      <x:c r="Q66" s="70" t="n">
        <x:v>0.5763</x:v>
      </x:c>
      <x:c r="R66" s="68" t="n">
        <x:v>0.0891</x:v>
      </x:c>
      <x:c r="S66" s="68" t="n">
        <x:v>0.035754</x:v>
      </x:c>
      <x:c r="T66" s="68" t="n">
        <x:v>0.0236</x:v>
      </x:c>
      <x:c r="U66" s="68" t="n">
        <x:v>0.049800000000000004</x:v>
      </x:c>
      <x:c r="V66" s="71" t="n">
        <x:v>47.97</x:v>
      </x:c>
      <x:c r="W66" s="71" t="n">
        <x:v>22.44583424</x:v>
      </x:c>
      <x:c r="X66" s="71" t="n">
        <x:v>0.64840348</x:v>
      </x:c>
      <x:c r="Y66" s="68" t="n">
        <x:v>0.0403</x:v>
      </x:c>
      <x:c r="Z66" s="68" t="n">
        <x:v>0.1561</x:v>
      </x:c>
      <x:c r="AA66" s="68" t="n">
        <x:v>0.0341</x:v>
      </x:c>
      <x:c r="AB66" s="68" t="n">
        <x:v>13.885896109009161</x:v>
      </x:c>
      <x:c r="AC66" s="68" t="n">
        <x:v>0.6119</x:v>
      </x:c>
      <x:c r="AD66" s="60" t="str">
        <x:v>同行估值 98、成长稳定 75</x:v>
      </x:c>
      <x:c r="AE66" s="60" t="str">
        <x:v>行业地位 66、稳健性 66</x:v>
      </x:c>
    </x:row>
    <x:row r="67" ht="39.599998474121094" hidden="0" customHeight="1">
      <x:c r="A67" s="60" t="str">
        <x:v>历史深度低估</x:v>
      </x:c>
      <x:c r="B67" s="66" t="str">
        <x:v>603181.SH</x:v>
      </x:c>
      <x:c r="C67" s="60" t="str">
        <x:v>皇马科技</x:v>
      </x:c>
      <x:c r="D67" s="60" t="str">
        <x:v>化工</x:v>
      </x:c>
      <x:c r="E67" s="60" t="str">
        <x:v>化学制品</x:v>
      </x:c>
      <x:c r="F67" s="60" t="str">
        <x:v>其他化学制品</x:v>
      </x:c>
      <x:c r="G67" s="61" t="n">
        <x:v>2</x:v>
      </x:c>
      <x:c r="H67" s="67" t="n">
        <x:v>73.0977</x:v>
      </x:c>
      <x:c r="I67" s="68" t="n">
        <x:v>1</x:v>
      </x:c>
      <x:c r="J67" s="69" t="str">
        <x:v>历史极低位</x:v>
      </x:c>
      <x:c r="K67" s="69" t="str">
        <x:v>完整</x:v>
      </x:c>
      <x:c r="L67" s="69" t="str">
        <x:v>2026-08-19</x:v>
      </x:c>
      <x:c r="M67" s="69" t="str">
        <x:v>2026-08-24</x:v>
      </x:c>
      <x:c r="N67" s="70" t="n">
        <x:v>12.6</x:v>
      </x:c>
      <x:c r="O67" s="70" t="n">
        <x:v>16.5847</x:v>
      </x:c>
      <x:c r="P67" s="68" t="n">
        <x:v>0.1591</x:v>
      </x:c>
      <x:c r="Q67" s="70" t="n">
        <x:v>2.0526</x:v>
      </x:c>
      <x:c r="R67" s="68" t="n">
        <x:v>0.0766</x:v>
      </x:c>
      <x:c r="S67" s="68" t="n">
        <x:v>0.017857</x:v>
      </x:c>
      <x:c r="T67" s="68" t="n">
        <x:v>0.047</x:v>
      </x:c>
      <x:c r="U67" s="68" t="n">
        <x:v>0.0942</x:v>
      </x:c>
      <x:c r="V67" s="71" t="n">
        <x:v>73.76</x:v>
      </x:c>
      <x:c r="W67" s="71" t="n">
        <x:v>5.84682048</x:v>
      </x:c>
      <x:c r="X67" s="71" t="n">
        <x:v>0.99201216</x:v>
      </x:c>
      <x:c r="Y67" s="68" t="n">
        <x:v>0.1332</x:v>
      </x:c>
      <x:c r="Z67" s="68" t="n">
        <x:v>0.262</x:v>
      </x:c>
      <x:c r="AA67" s="68" t="n">
        <x:v>0.1816</x:v>
      </x:c>
      <x:c r="AB67" s="68" t="n">
        <x:v>1.2389982800210837</x:v>
      </x:c>
      <x:c r="AC67" s="68" t="n">
        <x:v>0.20149999999999998</x:v>
      </x:c>
      <x:c r="AD67" s="60" t="str">
        <x:v>行业地位 83、同行估值 82</x:v>
      </x:c>
      <x:c r="AE67" s="60" t="str">
        <x:v>稳健性 34、现金流 66</x:v>
      </x:c>
    </x:row>
    <x:row r="68" ht="39.599998474121094" hidden="0" customHeight="1">
      <x:c r="A68" s="60" t="str">
        <x:v>历史深度低估</x:v>
      </x:c>
      <x:c r="B68" s="66" t="str">
        <x:v>300722.SZ</x:v>
      </x:c>
      <x:c r="C68" s="60" t="str">
        <x:v>新余国科</x:v>
      </x:c>
      <x:c r="D68" s="60" t="str">
        <x:v>国防军工</x:v>
      </x:c>
      <x:c r="E68" s="60" t="str">
        <x:v>航天装备</x:v>
      </x:c>
      <x:c r="F68" s="60" t="str">
        <x:v>航天装备</x:v>
      </x:c>
      <x:c r="G68" s="61" t="n">
        <x:v>1</x:v>
      </x:c>
      <x:c r="H68" s="67" t="n">
        <x:v>72.9722</x:v>
      </x:c>
      <x:c r="I68" s="68" t="n">
        <x:v>1</x:v>
      </x:c>
      <x:c r="J68" s="69" t="str">
        <x:v>历史极低位</x:v>
      </x:c>
      <x:c r="K68" s="69" t="str">
        <x:v>完整</x:v>
      </x:c>
      <x:c r="L68" s="69" t="str">
        <x:v>2026-08-19</x:v>
      </x:c>
      <x:c r="M68" s="69" t="str">
        <x:v>2026-08-24</x:v>
      </x:c>
      <x:c r="N68" s="70" t="n">
        <x:v>20.61</x:v>
      </x:c>
      <x:c r="O68" s="70" t="n">
        <x:v>69.6115</x:v>
      </x:c>
      <x:c r="P68" s="68" t="n">
        <x:v>0.0682</x:v>
      </x:c>
      <x:c r="Q68" s="70" t="n">
        <x:v>8.4491</x:v>
      </x:c>
      <x:c r="R68" s="68" t="n">
        <x:v>0.0331</x:v>
      </x:c>
      <x:c r="S68" s="68" t="n">
        <x:v>0.008733999999999999</x:v>
      </x:c>
      <x:c r="T68" s="68" t="n">
        <x:v>0.0381</x:v>
      </x:c>
      <x:c r="U68" s="68" t="n">
        <x:v>0.04650000000000001</x:v>
      </x:c>
      <x:c r="V68" s="71" t="n">
        <x:v>57.45</x:v>
      </x:c>
      <x:c r="W68" s="71" t="n">
        <x:v>1.8558448</x:v>
      </x:c>
      <x:c r="X68" s="71" t="n">
        <x:v>0.34297288</x:v>
      </x:c>
      <x:c r="Y68" s="68" t="n">
        <x:v>0.1281</x:v>
      </x:c>
      <x:c r="Z68" s="68" t="n">
        <x:v>0.4579</x:v>
      </x:c>
      <x:c r="AA68" s="68" t="n">
        <x:v>0.18469999999999998</x:v>
      </x:c>
      <x:c r="AB68" s="68" t="n">
        <x:v>2.260312593812082</x:v>
      </x:c>
      <x:c r="AC68" s="68" t="n">
        <x:v>0.27390000000000003</x:v>
      </x:c>
      <x:c r="AD68" s="60" t="str">
        <x:v>成长稳定 98、盈利能力 97</x:v>
      </x:c>
      <x:c r="AE68" s="60" t="str">
        <x:v>行业地位 34、现金流 69</x:v>
      </x:c>
    </x:row>
    <x:row r="69" ht="39.599998474121094" hidden="0" customHeight="1">
      <x:c r="A69" s="60" t="str">
        <x:v>历史深度低估</x:v>
      </x:c>
      <x:c r="B69" s="66" t="str">
        <x:v>603193.SH</x:v>
      </x:c>
      <x:c r="C69" s="60" t="str">
        <x:v>润本股份</x:v>
      </x:c>
      <x:c r="D69" s="60" t="str">
        <x:v>化工</x:v>
      </x:c>
      <x:c r="E69" s="60" t="str">
        <x:v>日用化工</x:v>
      </x:c>
      <x:c r="F69" s="60" t="str">
        <x:v>洗护用品</x:v>
      </x:c>
      <x:c r="G69" s="61" t="n">
        <x:v>1</x:v>
      </x:c>
      <x:c r="H69" s="67" t="n">
        <x:v>72.8319</x:v>
      </x:c>
      <x:c r="I69" s="68" t="n">
        <x:v>0.85</x:v>
      </x:c>
      <x:c r="J69" s="69" t="str">
        <x:v>历史极低位</x:v>
      </x:c>
      <x:c r="K69" s="69" t="str">
        <x:v>部分可用</x:v>
      </x:c>
      <x:c r="L69" s="69" t="str">
        <x:v>2026-08-19</x:v>
      </x:c>
      <x:c r="M69" s="69" t="str">
        <x:v>2026-08-24</x:v>
      </x:c>
      <x:c r="N69" s="70" t="n">
        <x:v>20.34</x:v>
      </x:c>
      <x:c r="O69" s="70" t="n">
        <x:v>25.4829</x:v>
      </x:c>
      <x:c r="P69" s="68" t="n">
        <x:v>0.0702</x:v>
      </x:c>
      <x:c r="Q69" s="70" t="n">
        <x:v>3.6195</x:v>
      </x:c>
      <x:c r="R69" s="68" t="n">
        <x:v>0.102</x:v>
      </x:c>
      <x:c r="S69" s="68" t="n">
        <x:v>0.022616</x:v>
      </x:c>
      <x:c r="T69" s="68" t="n">
        <x:v>0.0637</x:v>
      </x:c>
      <x:c r="U69" s="68" t="n">
        <x:v>0.0786</x:v>
      </x:c>
      <x:c r="V69" s="71" t="n">
        <x:v>83.67</x:v>
      </x:c>
      <x:c r="W69" s="71" t="n">
        <x:v>3.07269248</x:v>
      </x:c>
      <x:c r="X69" s="71" t="n">
        <x:v>0.48454128</x:v>
      </x:c>
      <x:c r="Y69" s="68" t="n">
        <x:v>0.1454</x:v>
      </x:c>
      <x:c r="Z69" s="68" t="n">
        <x:v>0.5831000000000001</x:v>
      </x:c>
      <x:c r="AA69" s="68" t="n">
        <x:v>0.2036</x:v>
      </x:c>
      <x:c r="AB69" s="68" t="n">
        <x:v>1.1381640796425023</x:v>
      </x:c>
      <x:c r="AC69" s="68" t="n">
        <x:v>0.05</x:v>
      </x:c>
      <x:c r="AD69" s="60" t="str">
        <x:v>盈利能力 96、行业地位 77</x:v>
      </x:c>
      <x:c r="AE69" s="60" t="str">
        <x:v>稳健性 57、同行估值 58</x:v>
      </x:c>
    </x:row>
    <x:row r="70" ht="39.599998474121094" hidden="0" customHeight="1">
      <x:c r="A70" s="60" t="str">
        <x:v>历史深度低估</x:v>
      </x:c>
      <x:c r="B70" s="66" t="str">
        <x:v>601799.SH</x:v>
      </x:c>
      <x:c r="C70" s="60" t="str">
        <x:v>星宇股份</x:v>
      </x:c>
      <x:c r="D70" s="60" t="str">
        <x:v>汽车</x:v>
      </x:c>
      <x:c r="E70" s="60" t="str">
        <x:v>汽车零部件</x:v>
      </x:c>
      <x:c r="F70" s="60" t="str">
        <x:v>车身附件及饰件</x:v>
      </x:c>
      <x:c r="G70" s="61" t="n">
        <x:v>2</x:v>
      </x:c>
      <x:c r="H70" s="67" t="n">
        <x:v>72.7883</x:v>
      </x:c>
      <x:c r="I70" s="68" t="n">
        <x:v>1</x:v>
      </x:c>
      <x:c r="J70" s="69" t="str">
        <x:v>历史极低位</x:v>
      </x:c>
      <x:c r="K70" s="69" t="str">
        <x:v>完整</x:v>
      </x:c>
      <x:c r="L70" s="69" t="str">
        <x:v>2026-08-19</x:v>
      </x:c>
      <x:c r="M70" s="69" t="str">
        <x:v>2026-08-24</x:v>
      </x:c>
      <x:c r="N70" s="70" t="n">
        <x:v>88.83</x:v>
      </x:c>
      <x:c r="O70" s="70" t="n">
        <x:v>15.3138</x:v>
      </x:c>
      <x:c r="P70" s="68" t="n">
        <x:v>0.0051</x:v>
      </x:c>
      <x:c r="Q70" s="70" t="n">
        <x:v>2.1933</x:v>
      </x:c>
      <x:c r="R70" s="68" t="n">
        <x:v>0.0051</x:v>
      </x:c>
      <x:c r="S70" s="68" t="n">
        <x:v>0.022515</x:v>
      </x:c>
      <x:c r="T70" s="68" t="n">
        <x:v>0.0053</x:v>
      </x:c>
      <x:c r="U70" s="68" t="n">
        <x:v>0.0052</x:v>
      </x:c>
      <x:c r="V70" s="71" t="n">
        <x:v>239.06</x:v>
      </x:c>
      <x:c r="W70" s="71" t="n">
        <x:v>45.46710528</x:v>
      </x:c>
      <x:c r="X70" s="71" t="n">
        <x:v>4.83055904</x:v>
      </x:c>
      <x:c r="Y70" s="68" t="n">
        <x:v>0.151</x:v>
      </x:c>
      <x:c r="Z70" s="68" t="n">
        <x:v>0.19649999999999998</x:v>
      </x:c>
      <x:c r="AA70" s="68" t="n">
        <x:v>0.1065</x:v>
      </x:c>
      <x:c r="AB70" s="68" t="n">
        <x:v>1.378650600241913</x:v>
      </x:c>
      <x:c r="AC70" s="68" t="n">
        <x:v>0.4108</x:v>
      </x:c>
      <x:c r="AD70" s="60" t="str">
        <x:v>行业地位 91、同行估值 74</x:v>
      </x:c>
      <x:c r="AE70" s="60" t="str">
        <x:v>稳健性 43、现金流 66</x:v>
      </x:c>
    </x:row>
    <x:row r="71" ht="39.599998474121094" hidden="0" customHeight="1">
      <x:c r="A71" s="60" t="str">
        <x:v>历史深度低估</x:v>
      </x:c>
      <x:c r="B71" s="66" t="str">
        <x:v>002200.SZ</x:v>
      </x:c>
      <x:c r="C71" s="60" t="str">
        <x:v>交投生态</x:v>
      </x:c>
      <x:c r="D71" s="60" t="str">
        <x:v>建筑</x:v>
      </x:c>
      <x:c r="E71" s="60" t="str">
        <x:v>基础建设</x:v>
      </x:c>
      <x:c r="F71" s="60" t="str">
        <x:v>园林工程</x:v>
      </x:c>
      <x:c r="G71" s="61" t="n">
        <x:v>1</x:v>
      </x:c>
      <x:c r="H71" s="67" t="n">
        <x:v>72.7</x:v>
      </x:c>
      <x:c r="I71" s="68" t="n">
        <x:v>1</x:v>
      </x:c>
      <x:c r="J71" s="69" t="str">
        <x:v>历史极低位</x:v>
      </x:c>
      <x:c r="K71" s="69" t="str">
        <x:v>完整</x:v>
      </x:c>
      <x:c r="L71" s="69" t="str">
        <x:v>2026-08-19</x:v>
      </x:c>
      <x:c r="M71" s="69" t="str">
        <x:v>2026-08-24</x:v>
      </x:c>
      <x:c r="N71" s="70" t="n">
        <x:v>6.77</x:v>
      </x:c>
      <x:c r="O71" s="70" t="n">
        <x:v>34.3025</x:v>
      </x:c>
      <x:c r="P71" s="68" t="n">
        <x:v>0.0053</x:v>
      </x:c>
      <x:c r="Q71" s="70" t="n">
        <x:v>2.2801</x:v>
      </x:c>
      <x:c r="R71" s="68" t="n">
        <x:v>0.0317</x:v>
      </x:c>
      <x:c r="S71" s="68"/>
      <x:c r="T71" s="68"/>
      <x:c r="U71" s="68" t="n">
        <x:v>0.018500000000000003</x:v>
      </x:c>
      <x:c r="V71" s="71" t="n">
        <x:v>29.5</x:v>
      </x:c>
      <x:c r="W71" s="71" t="n">
        <x:v>2.9442848</x:v>
      </x:c>
      <x:c r="X71" s="71" t="n">
        <x:v>0.44162784</x:v>
      </x:c>
      <x:c r="Y71" s="68" t="n">
        <x:v>-0.4235</x:v>
      </x:c>
      <x:c r="Z71" s="68" t="n">
        <x:v>0.08289999999999999</x:v>
      </x:c>
      <x:c r="AA71" s="68" t="n">
        <x:v>-0.0712</x:v>
      </x:c>
      <x:c r="AB71" s="68" t="n">
        <x:v>5.951654497144021</x:v>
      </x:c>
      <x:c r="AC71" s="68" t="n">
        <x:v>0.5053</x:v>
      </x:c>
      <x:c r="AD71" s="60" t="str">
        <x:v>现金流 92、稳健性 86</x:v>
      </x:c>
      <x:c r="AE71" s="60" t="str">
        <x:v>同行估值 54、盈利能力 57</x:v>
      </x:c>
    </x:row>
    <x:row r="72" ht="39.599998474121094" hidden="0" customHeight="1">
      <x:c r="A72" s="60" t="str">
        <x:v>历史深度低估</x:v>
      </x:c>
      <x:c r="B72" s="66" t="str">
        <x:v>688526.SH</x:v>
      </x:c>
      <x:c r="C72" s="60" t="str">
        <x:v>科前生物</x:v>
      </x:c>
      <x:c r="D72" s="60" t="str">
        <x:v>农林牧渔</x:v>
      </x:c>
      <x:c r="E72" s="60" t="str">
        <x:v>动物保健</x:v>
      </x:c>
      <x:c r="F72" s="60" t="str">
        <x:v>动物保健</x:v>
      </x:c>
      <x:c r="G72" s="61" t="n">
        <x:v>1</x:v>
      </x:c>
      <x:c r="H72" s="67" t="n">
        <x:v>72.2803</x:v>
      </x:c>
      <x:c r="I72" s="68" t="n">
        <x:v>1</x:v>
      </x:c>
      <x:c r="J72" s="69" t="str">
        <x:v>历史极低位</x:v>
      </x:c>
      <x:c r="K72" s="69" t="str">
        <x:v>完整</x:v>
      </x:c>
      <x:c r="L72" s="69" t="str">
        <x:v>2026-08-19</x:v>
      </x:c>
      <x:c r="M72" s="69" t="str">
        <x:v>2026-08-24</x:v>
      </x:c>
      <x:c r="N72" s="70" t="n">
        <x:v>13.18</x:v>
      </x:c>
      <x:c r="O72" s="70" t="n">
        <x:v>15.764</x:v>
      </x:c>
      <x:c r="P72" s="68" t="n">
        <x:v>0.0801</x:v>
      </x:c>
      <x:c r="Q72" s="70" t="n">
        <x:v>1.4246</x:v>
      </x:c>
      <x:c r="R72" s="68" t="n">
        <x:v>0.0487</x:v>
      </x:c>
      <x:c r="S72" s="68" t="n">
        <x:v>0.048558000000000004</x:v>
      </x:c>
      <x:c r="T72" s="68" t="n">
        <x:v>0.0463</x:v>
      </x:c>
      <x:c r="U72" s="68" t="n">
        <x:v>0.0584</x:v>
      </x:c>
      <x:c r="V72" s="71" t="n">
        <x:v>60.46</x:v>
      </x:c>
      <x:c r="W72" s="71" t="n">
        <x:v>2.11878768</x:v>
      </x:c>
      <x:c r="X72" s="71" t="n">
        <x:v>0.80931376</x:v>
      </x:c>
      <x:c r="Y72" s="68" t="n">
        <x:v>0.10279999999999999</x:v>
      </x:c>
      <x:c r="Z72" s="68" t="n">
        <x:v>0.6697</x:v>
      </x:c>
      <x:c r="AA72" s="68" t="n">
        <x:v>0.439</x:v>
      </x:c>
      <x:c r="AB72" s="68" t="n">
        <x:v>1.8883617152388465</x:v>
      </x:c>
      <x:c r="AC72" s="68" t="n">
        <x:v>0.1148</x:v>
      </x:c>
      <x:c r="AD72" s="60" t="str">
        <x:v>盈利能力 93、同行估值 87</x:v>
      </x:c>
      <x:c r="AE72" s="60" t="str">
        <x:v>稳健性 52、成长稳定 56</x:v>
      </x:c>
    </x:row>
    <x:row r="73" ht="39.599998474121094" hidden="0" customHeight="1">
      <x:c r="A73" s="60" t="str">
        <x:v>历史深度低估</x:v>
      </x:c>
      <x:c r="B73" s="66" t="str">
        <x:v>301215.SZ</x:v>
      </x:c>
      <x:c r="C73" s="60" t="str">
        <x:v>中汽股份</x:v>
      </x:c>
      <x:c r="D73" s="60" t="str">
        <x:v>汽车</x:v>
      </x:c>
      <x:c r="E73" s="60" t="str">
        <x:v>汽车服务</x:v>
      </x:c>
      <x:c r="F73" s="60" t="str">
        <x:v>汽车综合服务</x:v>
      </x:c>
      <x:c r="G73" s="61" t="n">
        <x:v>2</x:v>
      </x:c>
      <x:c r="H73" s="67" t="n">
        <x:v>72.25</x:v>
      </x:c>
      <x:c r="I73" s="68" t="n">
        <x:v>1</x:v>
      </x:c>
      <x:c r="J73" s="69" t="str">
        <x:v>历史极低位</x:v>
      </x:c>
      <x:c r="K73" s="69" t="str">
        <x:v>完整</x:v>
      </x:c>
      <x:c r="L73" s="69" t="str">
        <x:v>2026-08-19</x:v>
      </x:c>
      <x:c r="M73" s="69" t="str">
        <x:v>2026-08-24</x:v>
      </x:c>
      <x:c r="N73" s="70" t="n">
        <x:v>5.08</x:v>
      </x:c>
      <x:c r="O73" s="70" t="n">
        <x:v>29.1929</x:v>
      </x:c>
      <x:c r="P73" s="68" t="n">
        <x:v>0.0051</x:v>
      </x:c>
      <x:c r="Q73" s="70" t="n">
        <x:v>2.2644</x:v>
      </x:c>
      <x:c r="R73" s="68" t="n">
        <x:v>0.0111</x:v>
      </x:c>
      <x:c r="S73" s="68" t="n">
        <x:v>0.019488000000000002</x:v>
      </x:c>
      <x:c r="T73" s="68" t="n">
        <x:v>0.042699999999999995</x:v>
      </x:c>
      <x:c r="U73" s="68" t="n">
        <x:v>0.0196</x:v>
      </x:c>
      <x:c r="V73" s="71" t="n">
        <x:v>70.83</x:v>
      </x:c>
      <x:c r="W73" s="71" t="n">
        <x:v>1.432648</x:v>
      </x:c>
      <x:c r="X73" s="71" t="n">
        <x:v>0.52745384</x:v>
      </x:c>
      <x:c r="Y73" s="68" t="n">
        <x:v>0.0717</x:v>
      </x:c>
      <x:c r="Z73" s="68" t="n">
        <x:v>0.6367</x:v>
      </x:c>
      <x:c r="AA73" s="68" t="n">
        <x:v>0.36810000000000004</x:v>
      </x:c>
      <x:c r="AB73" s="68" t="n">
        <x:v>2.6104817816853885</x:v>
      </x:c>
      <x:c r="AC73" s="68" t="n">
        <x:v>0.1659</x:v>
      </x:c>
      <x:c r="AD73" s="60" t="str">
        <x:v>成长稳定 95、盈利能力 90</x:v>
      </x:c>
      <x:c r="AE73" s="60" t="str">
        <x:v>同行估值 50、行业地位 52</x:v>
      </x:c>
    </x:row>
    <x:row r="74" ht="39.599998474121094" hidden="0" customHeight="1">
      <x:c r="A74" s="60" t="str">
        <x:v>历史深度低估</x:v>
      </x:c>
      <x:c r="B74" s="66" t="str">
        <x:v>002997.SZ</x:v>
      </x:c>
      <x:c r="C74" s="60" t="str">
        <x:v>瑞鹄模具</x:v>
      </x:c>
      <x:c r="D74" s="60" t="str">
        <x:v>汽车</x:v>
      </x:c>
      <x:c r="E74" s="60" t="str">
        <x:v>汽车零部件</x:v>
      </x:c>
      <x:c r="F74" s="60" t="str">
        <x:v>其他汽车零部件</x:v>
      </x:c>
      <x:c r="G74" s="61" t="n">
        <x:v>2</x:v>
      </x:c>
      <x:c r="H74" s="67" t="n">
        <x:v>72.2368</x:v>
      </x:c>
      <x:c r="I74" s="68" t="n">
        <x:v>1</x:v>
      </x:c>
      <x:c r="J74" s="69" t="str">
        <x:v>历史极低位</x:v>
      </x:c>
      <x:c r="K74" s="69" t="str">
        <x:v>完整</x:v>
      </x:c>
      <x:c r="L74" s="69" t="str">
        <x:v>2026-08-19</x:v>
      </x:c>
      <x:c r="M74" s="69" t="str">
        <x:v>2026-08-24</x:v>
      </x:c>
      <x:c r="N74" s="70" t="n">
        <x:v>26.5</x:v>
      </x:c>
      <x:c r="O74" s="70" t="n">
        <x:v>13.8284</x:v>
      </x:c>
      <x:c r="P74" s="68" t="n">
        <x:v>0.0143</x:v>
      </x:c>
      <x:c r="Q74" s="70" t="n">
        <x:v>2.1521</x:v>
      </x:c>
      <x:c r="R74" s="68" t="n">
        <x:v>0.0274</x:v>
      </x:c>
      <x:c r="S74" s="68" t="n">
        <x:v>0.016981</x:v>
      </x:c>
      <x:c r="T74" s="68" t="n">
        <x:v>0.0344</x:v>
      </x:c>
      <x:c r="U74" s="68" t="n">
        <x:v>0.0254</x:v>
      </x:c>
      <x:c r="V74" s="71" t="n">
        <x:v>59.28</x:v>
      </x:c>
      <x:c r="W74" s="71" t="n">
        <x:v>6.8780832</x:v>
      </x:c>
      <x:c r="X74" s="71" t="n">
        <x:v>0.36870548</x:v>
      </x:c>
      <x:c r="Y74" s="68" t="n">
        <x:v>0.1686</x:v>
      </x:c>
      <x:c r="Z74" s="68" t="n">
        <x:v>0.2416</x:v>
      </x:c>
      <x:c r="AA74" s="68" t="n">
        <x:v>0.1383</x:v>
      </x:c>
      <x:c r="AB74" s="68" t="n">
        <x:v>5.766571627847787</x:v>
      </x:c>
      <x:c r="AC74" s="68" t="n">
        <x:v>0.6068</x:v>
      </x:c>
      <x:c r="AD74" s="60" t="str">
        <x:v>现金流 89、盈利能力 79</x:v>
      </x:c>
      <x:c r="AE74" s="60" t="str">
        <x:v>稳健性 36、成长稳定 69</x:v>
      </x:c>
    </x:row>
    <x:row r="75" ht="39.599998474121094" hidden="0" customHeight="1">
      <x:c r="A75" s="60" t="str">
        <x:v>历史深度低估</x:v>
      </x:c>
      <x:c r="B75" s="66" t="str">
        <x:v>002011.SZ</x:v>
      </x:c>
      <x:c r="C75" s="60" t="str">
        <x:v>盾安环境</x:v>
      </x:c>
      <x:c r="D75" s="60" t="str">
        <x:v>家电</x:v>
      </x:c>
      <x:c r="E75" s="60" t="str">
        <x:v>家电零部件</x:v>
      </x:c>
      <x:c r="F75" s="60" t="str">
        <x:v>家电零部件</x:v>
      </x:c>
      <x:c r="G75" s="61" t="n">
        <x:v>2</x:v>
      </x:c>
      <x:c r="H75" s="67" t="n">
        <x:v>72.154</x:v>
      </x:c>
      <x:c r="I75" s="68" t="n">
        <x:v>1</x:v>
      </x:c>
      <x:c r="J75" s="69" t="str">
        <x:v>历史极低位</x:v>
      </x:c>
      <x:c r="K75" s="69" t="str">
        <x:v>完整</x:v>
      </x:c>
      <x:c r="L75" s="69" t="str">
        <x:v>2026-08-19</x:v>
      </x:c>
      <x:c r="M75" s="69" t="str">
        <x:v>2026-08-24</x:v>
      </x:c>
      <x:c r="N75" s="70" t="n">
        <x:v>9.87</x:v>
      </x:c>
      <x:c r="O75" s="70" t="n">
        <x:v>10.0381</x:v>
      </x:c>
      <x:c r="P75" s="68" t="n">
        <x:v>0.0052</x:v>
      </x:c>
      <x:c r="Q75" s="70" t="n">
        <x:v>1.5539</x:v>
      </x:c>
      <x:c r="R75" s="68" t="n">
        <x:v>0.0058</x:v>
      </x:c>
      <x:c r="S75" s="68"/>
      <x:c r="T75" s="68"/>
      <x:c r="U75" s="68" t="n">
        <x:v>0.0055000000000000005</x:v>
      </x:c>
      <x:c r="V75" s="71" t="n">
        <x:v>105.19</x:v>
      </x:c>
      <x:c r="W75" s="71" t="n">
        <x:v>33.11714816</x:v>
      </x:c>
      <x:c r="X75" s="71" t="n">
        <x:v>3.09397088</x:v>
      </x:c>
      <x:c r="Y75" s="68" t="n">
        <x:v>0.1772</x:v>
      </x:c>
      <x:c r="Z75" s="68" t="n">
        <x:v>0.1848</x:v>
      </x:c>
      <x:c r="AA75" s="68" t="n">
        <x:v>0.0819</x:v>
      </x:c>
      <x:c r="AB75" s="68" t="n">
        <x:v>2.288545288441758</x:v>
      </x:c>
      <x:c r="AC75" s="68" t="n">
        <x:v>0.4582</x:v>
      </x:c>
      <x:c r="AD75" s="60" t="str">
        <x:v>行业地位 90、同行估值 79</x:v>
      </x:c>
      <x:c r="AE75" s="60" t="str">
        <x:v>成长稳定 47、稳健性 62</x:v>
      </x:c>
    </x:row>
    <x:row r="76" ht="39.599998474121094" hidden="0" customHeight="1">
      <x:c r="A76" s="60" t="str">
        <x:v>历史深度低估</x:v>
      </x:c>
      <x:c r="B76" s="66" t="str">
        <x:v>600612.SH</x:v>
      </x:c>
      <x:c r="C76" s="60" t="str">
        <x:v>老凤祥</x:v>
      </x:c>
      <x:c r="D76" s="60" t="str">
        <x:v>纺织服饰</x:v>
      </x:c>
      <x:c r="E76" s="60" t="str">
        <x:v>饰品</x:v>
      </x:c>
      <x:c r="F76" s="60" t="str">
        <x:v>钟表珠宝</x:v>
      </x:c>
      <x:c r="G76" s="61" t="n">
        <x:v>1</x:v>
      </x:c>
      <x:c r="H76" s="67" t="n">
        <x:v>72.1318</x:v>
      </x:c>
      <x:c r="I76" s="68" t="n">
        <x:v>1</x:v>
      </x:c>
      <x:c r="J76" s="69" t="str">
        <x:v>历史极低位</x:v>
      </x:c>
      <x:c r="K76" s="69" t="str">
        <x:v>完整</x:v>
      </x:c>
      <x:c r="L76" s="69" t="str">
        <x:v>2026-08-19</x:v>
      </x:c>
      <x:c r="M76" s="69" t="str">
        <x:v>2026-08-24</x:v>
      </x:c>
      <x:c r="N76" s="70" t="n">
        <x:v>34.76</x:v>
      </x:c>
      <x:c r="O76" s="70" t="n">
        <x:v>10.7661</x:v>
      </x:c>
      <x:c r="P76" s="68" t="n">
        <x:v>0.024399999999999998</x:v>
      </x:c>
      <x:c r="Q76" s="70" t="n">
        <x:v>1.3244</x:v>
      </x:c>
      <x:c r="R76" s="68" t="n">
        <x:v>0.022000000000000002</x:v>
      </x:c>
      <x:c r="S76" s="68" t="n">
        <x:v>0.047468</x:v>
      </x:c>
      <x:c r="T76" s="68" t="n">
        <x:v>0.08349999999999999</x:v>
      </x:c>
      <x:c r="U76" s="68" t="n">
        <x:v>0.0433</x:v>
      </x:c>
      <x:c r="V76" s="71" t="n">
        <x:v>186.44</x:v>
      </x:c>
      <x:c r="W76" s="71" t="n">
        <x:v>48.21921792</x:v>
      </x:c>
      <x:c r="X76" s="71" t="n">
        <x:v>3.17426176</x:v>
      </x:c>
      <x:c r="Y76" s="68" t="n">
        <x:v>0.1364</x:v>
      </x:c>
      <x:c r="Z76" s="68" t="n">
        <x:v>0.0909</x:v>
      </x:c>
      <x:c r="AA76" s="68" t="n">
        <x:v>0.042800000000000005</x:v>
      </x:c>
      <x:c r="AB76" s="68" t="n">
        <x:v>11.33029906141074</x:v>
      </x:c>
      <x:c r="AC76" s="68" t="n">
        <x:v>0.251</x:v>
      </x:c>
      <x:c r="AD76" s="60" t="str">
        <x:v>行业地位 92、同行估值 88</x:v>
      </x:c>
      <x:c r="AE76" s="60" t="str">
        <x:v>成长稳定 52、盈利能力 54</x:v>
      </x:c>
    </x:row>
    <x:row r="77" ht="39.599998474121094" hidden="0" customHeight="1">
      <x:c r="A77" s="60" t="str">
        <x:v>历史深度低估</x:v>
      </x:c>
      <x:c r="B77" s="66" t="str">
        <x:v>603187.SH</x:v>
      </x:c>
      <x:c r="C77" s="60" t="str">
        <x:v>海容冷链</x:v>
      </x:c>
      <x:c r="D77" s="60" t="str">
        <x:v>机械设备</x:v>
      </x:c>
      <x:c r="E77" s="60" t="str">
        <x:v>通用设备</x:v>
      </x:c>
      <x:c r="F77" s="60" t="str">
        <x:v>制冷空调设备</x:v>
      </x:c>
      <x:c r="G77" s="61" t="n">
        <x:v>1</x:v>
      </x:c>
      <x:c r="H77" s="67" t="n">
        <x:v>71.8163</x:v>
      </x:c>
      <x:c r="I77" s="68" t="n">
        <x:v>1</x:v>
      </x:c>
      <x:c r="J77" s="69" t="str">
        <x:v>历史极低位</x:v>
      </x:c>
      <x:c r="K77" s="69" t="str">
        <x:v>完整</x:v>
      </x:c>
      <x:c r="L77" s="69" t="str">
        <x:v>2026-08-19</x:v>
      </x:c>
      <x:c r="M77" s="69" t="str">
        <x:v>2026-08-24</x:v>
      </x:c>
      <x:c r="N77" s="70" t="n">
        <x:v>11.1</x:v>
      </x:c>
      <x:c r="O77" s="70" t="n">
        <x:v>11.0267</x:v>
      </x:c>
      <x:c r="P77" s="68" t="n">
        <x:v>0.049100000000000005</x:v>
      </x:c>
      <x:c r="Q77" s="70" t="n">
        <x:v>0.9959</x:v>
      </x:c>
      <x:c r="R77" s="68" t="n">
        <x:v>0.0302</x:v>
      </x:c>
      <x:c r="S77" s="68" t="n">
        <x:v>0.049550000000000004</x:v>
      </x:c>
      <x:c r="T77" s="68" t="n">
        <x:v>0.1625</x:v>
      </x:c>
      <x:c r="U77" s="68" t="n">
        <x:v>0.0806</x:v>
      </x:c>
      <x:c r="V77" s="71" t="n">
        <x:v>42.35</x:v>
      </x:c>
      <x:c r="W77" s="71" t="n">
        <x:v>9.20878208</x:v>
      </x:c>
      <x:c r="X77" s="71" t="n">
        <x:v>0.88005848</x:v>
      </x:c>
      <x:c r="Y77" s="68" t="n">
        <x:v>0.092</x:v>
      </x:c>
      <x:c r="Z77" s="68" t="n">
        <x:v>0.2763</x:v>
      </x:c>
      <x:c r="AA77" s="68" t="n">
        <x:v>0.1155</x:v>
      </x:c>
      <x:c r="AB77" s="68" t="n">
        <x:v>1.619413291716705</x:v>
      </x:c>
      <x:c r="AC77" s="68" t="n">
        <x:v>0.2924</x:v>
      </x:c>
      <x:c r="AD77" s="60" t="str">
        <x:v>同行估值 98、成长稳定 72</x:v>
      </x:c>
      <x:c r="AE77" s="60" t="str">
        <x:v>现金流 55、稳健性 62</x:v>
      </x:c>
    </x:row>
    <x:row r="78" ht="39.599998474121094" hidden="0" customHeight="1">
      <x:c r="A78" s="60" t="str">
        <x:v>历史深度低估</x:v>
      </x:c>
      <x:c r="B78" s="66" t="str">
        <x:v>300850.SZ</x:v>
      </x:c>
      <x:c r="C78" s="60" t="str">
        <x:v>新强联</x:v>
      </x:c>
      <x:c r="D78" s="60" t="str">
        <x:v>电力设备</x:v>
      </x:c>
      <x:c r="E78" s="60" t="str">
        <x:v>风电设备</x:v>
      </x:c>
      <x:c r="F78" s="60" t="str">
        <x:v>风电零部件</x:v>
      </x:c>
      <x:c r="G78" s="61" t="n">
        <x:v>1</x:v>
      </x:c>
      <x:c r="H78" s="67" t="n">
        <x:v>71.2991</x:v>
      </x:c>
      <x:c r="I78" s="68" t="n">
        <x:v>1</x:v>
      </x:c>
      <x:c r="J78" s="69" t="str">
        <x:v>历史极低位</x:v>
      </x:c>
      <x:c r="K78" s="69" t="str">
        <x:v>完整</x:v>
      </x:c>
      <x:c r="L78" s="69" t="str">
        <x:v>2026-08-19</x:v>
      </x:c>
      <x:c r="M78" s="69" t="str">
        <x:v>2026-08-24</x:v>
      </x:c>
      <x:c r="N78" s="70" t="n">
        <x:v>25.32</x:v>
      </x:c>
      <x:c r="O78" s="70" t="n">
        <x:v>13.1507</x:v>
      </x:c>
      <x:c r="P78" s="68" t="n">
        <x:v>0.011399999999999999</x:v>
      </x:c>
      <x:c r="Q78" s="70" t="n">
        <x:v>1.4663</x:v>
      </x:c>
      <x:c r="R78" s="68" t="n">
        <x:v>0.126</x:v>
      </x:c>
      <x:c r="S78" s="68" t="n">
        <x:v>0.011651</x:v>
      </x:c>
      <x:c r="T78" s="68" t="n">
        <x:v>0.0104</x:v>
      </x:c>
      <x:c r="U78" s="68" t="n">
        <x:v>0.0493</x:v>
      </x:c>
      <x:c r="V78" s="71" t="n">
        <x:v>103.77</x:v>
      </x:c>
      <x:c r="W78" s="71" t="n">
        <x:v>10.09914432</x:v>
      </x:c>
      <x:c r="X78" s="71" t="n">
        <x:v>1.54316304</x:v>
      </x:c>
      <x:c r="Y78" s="68" t="n">
        <x:v>0.1378</x:v>
      </x:c>
      <x:c r="Z78" s="68" t="n">
        <x:v>0.28</x:v>
      </x:c>
      <x:c r="AA78" s="68" t="n">
        <x:v>0.1822</x:v>
      </x:c>
      <x:c r="AB78" s="68" t="n">
        <x:v>-0.39522042985166356</x:v>
      </x:c>
      <x:c r="AC78" s="68" t="n">
        <x:v>0.3812</x:v>
      </x:c>
      <x:c r="AD78" s="60" t="str">
        <x:v>盈利能力 92、同行估值 84</x:v>
      </x:c>
      <x:c r="AE78" s="60" t="str">
        <x:v>现金流 35、稳健性 62</x:v>
      </x:c>
    </x:row>
    <x:row r="79" ht="39.599998474121094" hidden="0" customHeight="1">
      <x:c r="A79" s="60" t="str">
        <x:v>历史深度低估</x:v>
      </x:c>
      <x:c r="B79" s="66" t="str">
        <x:v>600150.SH</x:v>
      </x:c>
      <x:c r="C79" s="60" t="str">
        <x:v>中国船舶</x:v>
      </x:c>
      <x:c r="D79" s="60" t="str">
        <x:v>国防军工</x:v>
      </x:c>
      <x:c r="E79" s="60" t="str">
        <x:v>航海装备</x:v>
      </x:c>
      <x:c r="F79" s="60" t="str">
        <x:v>航海装备</x:v>
      </x:c>
      <x:c r="G79" s="61" t="n">
        <x:v>1</x:v>
      </x:c>
      <x:c r="H79" s="67" t="n">
        <x:v>71.2357</x:v>
      </x:c>
      <x:c r="I79" s="68" t="n">
        <x:v>1</x:v>
      </x:c>
      <x:c r="J79" s="69" t="str">
        <x:v>历史极低位</x:v>
      </x:c>
      <x:c r="K79" s="69" t="str">
        <x:v>完整</x:v>
      </x:c>
      <x:c r="L79" s="69" t="str">
        <x:v>2026-08-19</x:v>
      </x:c>
      <x:c r="M79" s="69" t="str">
        <x:v>2026-08-24</x:v>
      </x:c>
      <x:c r="N79" s="70" t="n">
        <x:v>33.14</x:v>
      </x:c>
      <x:c r="O79" s="70" t="n">
        <x:v>21.586</x:v>
      </x:c>
      <x:c r="P79" s="68" t="n">
        <x:v>0.0052</x:v>
      </x:c>
      <x:c r="Q79" s="70" t="n">
        <x:v>1.6677</x:v>
      </x:c>
      <x:c r="R79" s="68" t="n">
        <x:v>0.0695</x:v>
      </x:c>
      <x:c r="S79" s="68" t="n">
        <x:v>0.011014</x:v>
      </x:c>
      <x:c r="T79" s="68" t="n">
        <x:v>0.0341</x:v>
      </x:c>
      <x:c r="U79" s="68" t="n">
        <x:v>0.0363</x:v>
      </x:c>
      <x:c r="V79" s="71" t="n">
        <x:v>2543.66</x:v>
      </x:c>
      <x:c r="W79" s="71" t="n">
        <x:v>445.75186944</x:v>
      </x:c>
      <x:c r="X79" s="71" t="n">
        <x:v>19.9659776</x:v>
      </x:c>
      <x:c r="Y79" s="68" t="n">
        <x:v>0.0736</x:v>
      </x:c>
      <x:c r="Z79" s="68" t="n">
        <x:v>0.1258</x:v>
      </x:c>
      <x:c r="AA79" s="68" t="n">
        <x:v>0.0692</x:v>
      </x:c>
      <x:c r="AB79" s="68" t="n">
        <x:v>2.340030849278324</x:v>
      </x:c>
      <x:c r="AC79" s="68" t="n">
        <x:v>0.6442</x:v>
      </x:c>
      <x:c r="AD79" s="60" t="str">
        <x:v>行业地位 100、同行估值 94</x:v>
      </x:c>
      <x:c r="AE79" s="60" t="str">
        <x:v>稳健性 11、现金流 53</x:v>
      </x:c>
    </x:row>
    <x:row r="80" ht="52.79999923706055" hidden="0" customHeight="1">
      <x:c r="A80" s="60" t="str">
        <x:v>历史深度低估</x:v>
      </x:c>
      <x:c r="B80" s="66" t="str">
        <x:v>600598.SH</x:v>
      </x:c>
      <x:c r="C80" s="60" t="str">
        <x:v>北大荒</x:v>
      </x:c>
      <x:c r="D80" s="60" t="str">
        <x:v>农林牧渔</x:v>
      </x:c>
      <x:c r="E80" s="60" t="str">
        <x:v>种植业</x:v>
      </x:c>
      <x:c r="F80" s="60" t="str">
        <x:v>粮食种植</x:v>
      </x:c>
      <x:c r="G80" s="61" t="n">
        <x:v>1</x:v>
      </x:c>
      <x:c r="H80" s="67" t="n">
        <x:v>71.125</x:v>
      </x:c>
      <x:c r="I80" s="68" t="n">
        <x:v>1</x:v>
      </x:c>
      <x:c r="J80" s="69" t="str">
        <x:v>历史极低位</x:v>
      </x:c>
      <x:c r="K80" s="69" t="str">
        <x:v>完整</x:v>
      </x:c>
      <x:c r="L80" s="69" t="str">
        <x:v>2026-08-19</x:v>
      </x:c>
      <x:c r="M80" s="69" t="str">
        <x:v>2026-08-24</x:v>
      </x:c>
      <x:c r="N80" s="70" t="n">
        <x:v>13.86</x:v>
      </x:c>
      <x:c r="O80" s="70" t="n">
        <x:v>20.3889</x:v>
      </x:c>
      <x:c r="P80" s="68" t="n">
        <x:v>0.11779999999999999</x:v>
      </x:c>
      <x:c r="Q80" s="70" t="n">
        <x:v>2.8714</x:v>
      </x:c>
      <x:c r="R80" s="68" t="n">
        <x:v>0.1257</x:v>
      </x:c>
      <x:c r="S80" s="68" t="n">
        <x:v>0.039683</x:v>
      </x:c>
      <x:c r="T80" s="68" t="n">
        <x:v>0.0362</x:v>
      </x:c>
      <x:c r="U80" s="68" t="n">
        <x:v>0.0932</x:v>
      </x:c>
      <x:c r="V80" s="71" t="n">
        <x:v>227.01</x:v>
      </x:c>
      <x:c r="W80" s="71" t="n">
        <x:v>11.20827008</x:v>
      </x:c>
      <x:c r="X80" s="71" t="n">
        <x:v>-1.9061296</x:v>
      </x:c>
      <x:c r="Y80" s="68" t="n">
        <x:v>0.149</x:v>
      </x:c>
      <x:c r="Z80" s="68" t="n">
        <x:v>0.3456</x:v>
      </x:c>
      <x:c r="AA80" s="68" t="n">
        <x:v>0.2232</x:v>
      </x:c>
      <x:c r="AB80" s="68" t="n">
        <x:v>9.167382029007891</x:v>
      </x:c>
      <x:c r="AC80" s="68" t="n">
        <x:v>0.1293</x:v>
      </x:c>
      <x:c r="AD80" s="60" t="str">
        <x:v>盈利能力 100、成长稳定 100</x:v>
      </x:c>
      <x:c r="AE80" s="60" t="str">
        <x:v>现金流 38、行业地位 40</x:v>
      </x:c>
    </x:row>
    <x:row r="81" ht="39.599998474121094" hidden="0" customHeight="1">
      <x:c r="A81" s="60" t="str">
        <x:v>历史深度低估</x:v>
      </x:c>
      <x:c r="B81" s="66" t="str">
        <x:v>300973.SZ</x:v>
      </x:c>
      <x:c r="C81" s="60" t="str">
        <x:v>立高食品</x:v>
      </x:c>
      <x:c r="D81" s="60" t="str">
        <x:v>食品饮料</x:v>
      </x:c>
      <x:c r="E81" s="60" t="str">
        <x:v>休闲食品</x:v>
      </x:c>
      <x:c r="F81" s="60" t="str">
        <x:v>烘焙食品</x:v>
      </x:c>
      <x:c r="G81" s="61" t="n">
        <x:v>1</x:v>
      </x:c>
      <x:c r="H81" s="67" t="n">
        <x:v>71.0833</x:v>
      </x:c>
      <x:c r="I81" s="68" t="n">
        <x:v>1</x:v>
      </x:c>
      <x:c r="J81" s="69" t="str">
        <x:v>历史极低位</x:v>
      </x:c>
      <x:c r="K81" s="69" t="str">
        <x:v>完整</x:v>
      </x:c>
      <x:c r="L81" s="69" t="str">
        <x:v>2026-08-19</x:v>
      </x:c>
      <x:c r="M81" s="69" t="str">
        <x:v>2026-08-24</x:v>
      </x:c>
      <x:c r="N81" s="70" t="n">
        <x:v>24.71</x:v>
      </x:c>
      <x:c r="O81" s="70" t="n">
        <x:v>14.9257</x:v>
      </x:c>
      <x:c r="P81" s="68" t="n">
        <x:v>0.0151</x:v>
      </x:c>
      <x:c r="Q81" s="70" t="n">
        <x:v>1.5307</x:v>
      </x:c>
      <x:c r="R81" s="68" t="n">
        <x:v>0.0159</x:v>
      </x:c>
      <x:c r="S81" s="68" t="n">
        <x:v>0.028329</x:v>
      </x:c>
      <x:c r="T81" s="68" t="n">
        <x:v>0.0154</x:v>
      </x:c>
      <x:c r="U81" s="68" t="n">
        <x:v>0.0155</x:v>
      </x:c>
      <x:c r="V81" s="71" t="n">
        <x:v>40.57</x:v>
      </x:c>
      <x:c r="W81" s="71" t="n">
        <x:v>12.09070592</x:v>
      </x:c>
      <x:c r="X81" s="71" t="n">
        <x:v>0.56860724</x:v>
      </x:c>
      <x:c r="Y81" s="68" t="n">
        <x:v>0.1167</x:v>
      </x:c>
      <x:c r="Z81" s="68" t="n">
        <x:v>0.2967</x:v>
      </x:c>
      <x:c r="AA81" s="68" t="n">
        <x:v>0.0681</x:v>
      </x:c>
      <x:c r="AB81" s="68" t="n">
        <x:v>2.9297661422672</x:v>
      </x:c>
      <x:c r="AC81" s="68" t="n">
        <x:v>0.4311</x:v>
      </x:c>
      <x:c r="AD81" s="60" t="str">
        <x:v>现金流 90、同行估值 75</x:v>
      </x:c>
      <x:c r="AE81" s="60" t="str">
        <x:v>稳健性 47、盈利能力 63</x:v>
      </x:c>
    </x:row>
    <x:row r="82" ht="52.79999923706055" hidden="0" customHeight="1">
      <x:c r="A82" s="60" t="str">
        <x:v>历史深度低估</x:v>
      </x:c>
      <x:c r="B82" s="66" t="str">
        <x:v>301498.SZ</x:v>
      </x:c>
      <x:c r="C82" s="60" t="str">
        <x:v>乖宝宠物</x:v>
      </x:c>
      <x:c r="D82" s="60" t="str">
        <x:v>农林牧渔</x:v>
      </x:c>
      <x:c r="E82" s="60" t="str">
        <x:v>饲料</x:v>
      </x:c>
      <x:c r="F82" s="60" t="str">
        <x:v>宠物食品</x:v>
      </x:c>
      <x:c r="G82" s="61" t="n">
        <x:v>1</x:v>
      </x:c>
      <x:c r="H82" s="67" t="n">
        <x:v>70.7843</x:v>
      </x:c>
      <x:c r="I82" s="68" t="n">
        <x:v>0.85</x:v>
      </x:c>
      <x:c r="J82" s="69" t="str">
        <x:v>历史极低位</x:v>
      </x:c>
      <x:c r="K82" s="69" t="str">
        <x:v>部分可用</x:v>
      </x:c>
      <x:c r="L82" s="69" t="str">
        <x:v>2026-08-19</x:v>
      </x:c>
      <x:c r="M82" s="69" t="str">
        <x:v>2026-08-24</x:v>
      </x:c>
      <x:c r="N82" s="70" t="n">
        <x:v>39.25</x:v>
      </x:c>
      <x:c r="O82" s="70" t="n">
        <x:v>26.5295</x:v>
      </x:c>
      <x:c r="P82" s="68" t="n">
        <x:v>0.0055000000000000005</x:v>
      </x:c>
      <x:c r="Q82" s="70" t="n">
        <x:v>3.3126</x:v>
      </x:c>
      <x:c r="R82" s="68" t="n">
        <x:v>0.0055000000000000005</x:v>
      </x:c>
      <x:c r="S82" s="68" t="n">
        <x:v>0.012739</x:v>
      </x:c>
      <x:c r="T82" s="68" t="n">
        <x:v>0.0225</x:v>
      </x:c>
      <x:c r="U82" s="68" t="n">
        <x:v>0.011200000000000002</x:v>
      </x:c>
      <x:c r="V82" s="71" t="n">
        <x:v>151.26</x:v>
      </x:c>
      <x:c r="W82" s="71" t="n">
        <x:v>20.31504896</x:v>
      </x:c>
      <x:c r="X82" s="71" t="n">
        <x:v>1.60133152</x:v>
      </x:c>
      <x:c r="Y82" s="68" t="n">
        <x:v>0.15289999999999998</x:v>
      </x:c>
      <x:c r="Z82" s="68" t="n">
        <x:v>0.4249</x:v>
      </x:c>
      <x:c r="AA82" s="68" t="n">
        <x:v>0.09960000000000001</x:v>
      </x:c>
      <x:c r="AB82" s="68" t="n">
        <x:v>2.150710578656442</x:v>
      </x:c>
      <x:c r="AC82" s="68" t="n">
        <x:v>0.2045</x:v>
      </x:c>
      <x:c r="AD82" s="60" t="str">
        <x:v>盈利能力 100、行业地位 100</x:v>
      </x:c>
      <x:c r="AE82" s="60" t="str">
        <x:v>现金流 27、同行估值 37</x:v>
      </x:c>
    </x:row>
    <x:row r="83" ht="52.79999923706055" hidden="0" customHeight="1">
      <x:c r="A83" s="60" t="str">
        <x:v>历史深度低估</x:v>
      </x:c>
      <x:c r="B83" s="66" t="str">
        <x:v>601117.SH</x:v>
      </x:c>
      <x:c r="C83" s="60" t="str">
        <x:v>中国化学</x:v>
      </x:c>
      <x:c r="D83" s="60" t="str">
        <x:v>建筑</x:v>
      </x:c>
      <x:c r="E83" s="60" t="str">
        <x:v>专业工程</x:v>
      </x:c>
      <x:c r="F83" s="60" t="str">
        <x:v>化学工程</x:v>
      </x:c>
      <x:c r="G83" s="61" t="n">
        <x:v>1</x:v>
      </x:c>
      <x:c r="H83" s="67" t="n">
        <x:v>70.625</x:v>
      </x:c>
      <x:c r="I83" s="68" t="n">
        <x:v>1</x:v>
      </x:c>
      <x:c r="J83" s="69" t="str">
        <x:v>历史极低位</x:v>
      </x:c>
      <x:c r="K83" s="69" t="str">
        <x:v>完整</x:v>
      </x:c>
      <x:c r="L83" s="69" t="str">
        <x:v>2026-08-19</x:v>
      </x:c>
      <x:c r="M83" s="69" t="str">
        <x:v>2026-08-24</x:v>
      </x:c>
      <x:c r="N83" s="70" t="n">
        <x:v>7.44</x:v>
      </x:c>
      <x:c r="O83" s="70" t="n">
        <x:v>6.9263</x:v>
      </x:c>
      <x:c r="P83" s="68" t="n">
        <x:v>0.0161</x:v>
      </x:c>
      <x:c r="Q83" s="70" t="n">
        <x:v>0.6598</x:v>
      </x:c>
      <x:c r="R83" s="68" t="n">
        <x:v>0.0232</x:v>
      </x:c>
      <x:c r="S83" s="68" t="n">
        <x:v>0.053360000000000005</x:v>
      </x:c>
      <x:c r="T83" s="68" t="n">
        <x:v>0.0054</x:v>
      </x:c>
      <x:c r="U83" s="68" t="n">
        <x:v>0.0149</x:v>
      </x:c>
      <x:c r="V83" s="71" t="n">
        <x:v>457.92</x:v>
      </x:c>
      <x:c r="W83" s="71" t="n">
        <x:v>536.55396352</x:v>
      </x:c>
      <x:c r="X83" s="71" t="n">
        <x:v>22.0384512</x:v>
      </x:c>
      <x:c r="Y83" s="68" t="n">
        <x:v>0.0993</x:v>
      </x:c>
      <x:c r="Z83" s="68" t="n">
        <x:v>0.10710000000000001</x:v>
      </x:c>
      <x:c r="AA83" s="68" t="n">
        <x:v>0.0373</x:v>
      </x:c>
      <x:c r="AB83" s="68" t="n">
        <x:v>3.1847313843905694</x:v>
      </x:c>
      <x:c r="AC83" s="68" t="n">
        <x:v>0.6986</x:v>
      </x:c>
      <x:c r="AD83" s="60" t="str">
        <x:v>同行估值 100、行业地位 100</x:v>
      </x:c>
      <x:c r="AE83" s="60" t="str">
        <x:v>盈利能力 20、稳健性 30</x:v>
      </x:c>
    </x:row>
    <x:row r="84" ht="39.599998474121094" hidden="0" customHeight="1">
      <x:c r="A84" s="60" t="str">
        <x:v>历史深度低估</x:v>
      </x:c>
      <x:c r="B84" s="66" t="str">
        <x:v>002847.SZ</x:v>
      </x:c>
      <x:c r="C84" s="60" t="str">
        <x:v>盐津铺子</x:v>
      </x:c>
      <x:c r="D84" s="60" t="str">
        <x:v>食品饮料</x:v>
      </x:c>
      <x:c r="E84" s="60" t="str">
        <x:v>休闲食品</x:v>
      </x:c>
      <x:c r="F84" s="60" t="str">
        <x:v>零食</x:v>
      </x:c>
      <x:c r="G84" s="61" t="n">
        <x:v>1</x:v>
      </x:c>
      <x:c r="H84" s="67" t="n">
        <x:v>70.6207</x:v>
      </x:c>
      <x:c r="I84" s="68" t="n">
        <x:v>1</x:v>
      </x:c>
      <x:c r="J84" s="69" t="str">
        <x:v>历史极低位</x:v>
      </x:c>
      <x:c r="K84" s="69" t="str">
        <x:v>完整</x:v>
      </x:c>
      <x:c r="L84" s="69" t="str">
        <x:v>2026-08-19</x:v>
      </x:c>
      <x:c r="M84" s="69" t="str">
        <x:v>2026-08-24</x:v>
      </x:c>
      <x:c r="N84" s="70" t="n">
        <x:v>48.73</x:v>
      </x:c>
      <x:c r="O84" s="70" t="n">
        <x:v>16.4382</x:v>
      </x:c>
      <x:c r="P84" s="68" t="n">
        <x:v>0.0225</x:v>
      </x:c>
      <x:c r="Q84" s="70" t="n">
        <x:v>6.0672</x:v>
      </x:c>
      <x:c r="R84" s="68" t="n">
        <x:v>0.0241</x:v>
      </x:c>
      <x:c r="S84" s="68" t="n">
        <x:v>0.028730000000000002</x:v>
      </x:c>
      <x:c r="T84" s="68" t="n">
        <x:v>0.2052</x:v>
      </x:c>
      <x:c r="U84" s="68" t="n">
        <x:v>0.0839</x:v>
      </x:c>
      <x:c r="V84" s="71" t="n">
        <x:v>119.29</x:v>
      </x:c>
      <x:c r="W84" s="71" t="n">
        <x:v>13.35201152</x:v>
      </x:c>
      <x:c r="X84" s="71" t="n">
        <x:v>1.43801568</x:v>
      </x:c>
      <x:c r="Y84" s="68" t="n">
        <x:v>0.3682</x:v>
      </x:c>
      <x:c r="Z84" s="68" t="n">
        <x:v>0.308</x:v>
      </x:c>
      <x:c r="AA84" s="68" t="n">
        <x:v>0.12890000000000001</x:v>
      </x:c>
      <x:c r="AB84" s="68" t="n">
        <x:v>2.0162893355933367</x:v>
      </x:c>
      <x:c r="AC84" s="68" t="n">
        <x:v>0.4707</x:v>
      </x:c>
      <x:c r="AD84" s="60" t="str">
        <x:v>盈利能力 89、现金流 86</x:v>
      </x:c>
      <x:c r="AE84" s="60" t="str">
        <x:v>稳健性 31、同行估值 51</x:v>
      </x:c>
    </x:row>
    <x:row r="85" ht="39.599998474121094" hidden="0" customHeight="1">
      <x:c r="A85" s="60" t="str">
        <x:v>历史深度低估</x:v>
      </x:c>
      <x:c r="B85" s="66" t="str">
        <x:v>000550.SZ</x:v>
      </x:c>
      <x:c r="C85" s="60" t="str">
        <x:v>江铃汽车</x:v>
      </x:c>
      <x:c r="D85" s="60" t="str">
        <x:v>汽车</x:v>
      </x:c>
      <x:c r="E85" s="60" t="str">
        <x:v>商用车</x:v>
      </x:c>
      <x:c r="F85" s="60" t="str">
        <x:v>商用载货车</x:v>
      </x:c>
      <x:c r="G85" s="61" t="n">
        <x:v>1</x:v>
      </x:c>
      <x:c r="H85" s="67" t="n">
        <x:v>70.4286</x:v>
      </x:c>
      <x:c r="I85" s="68" t="n">
        <x:v>1</x:v>
      </x:c>
      <x:c r="J85" s="69" t="str">
        <x:v>历史极低位</x:v>
      </x:c>
      <x:c r="K85" s="69" t="str">
        <x:v>完整</x:v>
      </x:c>
      <x:c r="L85" s="69" t="str">
        <x:v>2026-08-19</x:v>
      </x:c>
      <x:c r="M85" s="69" t="str">
        <x:v>2026-08-24</x:v>
      </x:c>
      <x:c r="N85" s="70" t="n">
        <x:v>16.17</x:v>
      </x:c>
      <x:c r="O85" s="70" t="n">
        <x:v>11.423</x:v>
      </x:c>
      <x:c r="P85" s="68" t="n">
        <x:v>0.052300000000000006</x:v>
      </x:c>
      <x:c r="Q85" s="70" t="n">
        <x:v>1.1594</x:v>
      </x:c>
      <x:c r="R85" s="68" t="n">
        <x:v>0.005699999999999999</x:v>
      </x:c>
      <x:c r="S85" s="68" t="n">
        <x:v>0.07885</x:v>
      </x:c>
      <x:c r="T85" s="68" t="n">
        <x:v>0.1968</x:v>
      </x:c>
      <x:c r="U85" s="68" t="n">
        <x:v>0.0849</x:v>
      </x:c>
      <x:c r="V85" s="71" t="n">
        <x:v>134.83</x:v>
      </x:c>
      <x:c r="W85" s="71" t="n">
        <x:v>118.8138496</x:v>
      </x:c>
      <x:c r="X85" s="71" t="n">
        <x:v>4.38331712</x:v>
      </x:c>
      <x:c r="Y85" s="68" t="n">
        <x:v>0.10339999999999999</x:v>
      </x:c>
      <x:c r="Z85" s="68" t="n">
        <x:v>0.1358</x:v>
      </x:c>
      <x:c r="AA85" s="68" t="n">
        <x:v>0.0209</x:v>
      </x:c>
      <x:c r="AB85" s="68" t="n">
        <x:v>5.041858636958487</x:v>
      </x:c>
      <x:c r="AC85" s="68" t="n">
        <x:v>0.6622</x:v>
      </x:c>
      <x:c r="AD85" s="60" t="str">
        <x:v>现金流 91、同行估值 87</x:v>
      </x:c>
      <x:c r="AE85" s="60" t="str">
        <x:v>稳健性 50、行业地位 50</x:v>
      </x:c>
    </x:row>
    <x:row r="86" ht="39.599998474121094" hidden="0" customHeight="1">
      <x:c r="A86" s="60" t="str">
        <x:v>历史深度低估</x:v>
      </x:c>
      <x:c r="B86" s="66" t="str">
        <x:v>002668.SZ</x:v>
      </x:c>
      <x:c r="C86" s="60" t="str">
        <x:v>TCL智家</x:v>
      </x:c>
      <x:c r="D86" s="60" t="str">
        <x:v>家电</x:v>
      </x:c>
      <x:c r="E86" s="60" t="str">
        <x:v>白色家电</x:v>
      </x:c>
      <x:c r="F86" s="60" t="str">
        <x:v>冰洗</x:v>
      </x:c>
      <x:c r="G86" s="61" t="n">
        <x:v>2</x:v>
      </x:c>
      <x:c r="H86" s="67" t="n">
        <x:v>70.1571</x:v>
      </x:c>
      <x:c r="I86" s="68" t="n">
        <x:v>1</x:v>
      </x:c>
      <x:c r="J86" s="69" t="str">
        <x:v>历史极低位</x:v>
      </x:c>
      <x:c r="K86" s="69" t="str">
        <x:v>完整</x:v>
      </x:c>
      <x:c r="L86" s="69" t="str">
        <x:v>2026-08-19</x:v>
      </x:c>
      <x:c r="M86" s="69" t="str">
        <x:v>2026-08-24</x:v>
      </x:c>
      <x:c r="N86" s="70" t="n">
        <x:v>8.88</x:v>
      </x:c>
      <x:c r="O86" s="70" t="n">
        <x:v>8.5334</x:v>
      </x:c>
      <x:c r="P86" s="68" t="n">
        <x:v>0.0052</x:v>
      </x:c>
      <x:c r="Q86" s="70" t="n">
        <x:v>2.5016</x:v>
      </x:c>
      <x:c r="R86" s="68" t="n">
        <x:v>0.0053</x:v>
      </x:c>
      <x:c r="S86" s="68"/>
      <x:c r="T86" s="68"/>
      <x:c r="U86" s="68" t="n">
        <x:v>0.0053</x:v>
      </x:c>
      <x:c r="V86" s="71" t="n">
        <x:v>106.24</x:v>
      </x:c>
      <x:c r="W86" s="71" t="n">
        <x:v>41.85489664</x:v>
      </x:c>
      <x:c r="X86" s="71" t="n">
        <x:v>1.45946192</x:v>
      </x:c>
      <x:c r="Y86" s="68" t="n">
        <x:v>0.37689999999999996</x:v>
      </x:c>
      <x:c r="Z86" s="68" t="n">
        <x:v>0.2523</x:v>
      </x:c>
      <x:c r="AA86" s="68" t="n">
        <x:v>0.1152</x:v>
      </x:c>
      <x:c r="AB86" s="68" t="n">
        <x:v>4.216177425170504</x:v>
      </x:c>
      <x:c r="AC86" s="68" t="n">
        <x:v>0.6890999999999999</x:v>
      </x:c>
      <x:c r="AD86" s="60" t="str">
        <x:v>现金流 90、盈利能力 88</x:v>
      </x:c>
      <x:c r="AE86" s="60" t="str">
        <x:v>稳健性 44、同行估值 52</x:v>
      </x:c>
    </x:row>
    <x:row r="87" ht="39.599998474121094" hidden="0" customHeight="1">
      <x:c r="A87" s="60" t="str">
        <x:v>历史深度低估</x:v>
      </x:c>
      <x:c r="B87" s="66" t="str">
        <x:v>002116.SZ</x:v>
      </x:c>
      <x:c r="C87" s="60" t="str">
        <x:v>中国海诚</x:v>
      </x:c>
      <x:c r="D87" s="60" t="str">
        <x:v>建筑</x:v>
      </x:c>
      <x:c r="E87" s="60" t="str">
        <x:v>专业工程</x:v>
      </x:c>
      <x:c r="F87" s="60" t="str">
        <x:v>其他专业工程</x:v>
      </x:c>
      <x:c r="G87" s="61" t="n">
        <x:v>2</x:v>
      </x:c>
      <x:c r="H87" s="67" t="n">
        <x:v>69.5004</x:v>
      </x:c>
      <x:c r="I87" s="68" t="n">
        <x:v>1</x:v>
      </x:c>
      <x:c r="J87" s="69" t="str">
        <x:v>历史极低位</x:v>
      </x:c>
      <x:c r="K87" s="69" t="str">
        <x:v>完整</x:v>
      </x:c>
      <x:c r="L87" s="69" t="str">
        <x:v>2026-08-19</x:v>
      </x:c>
      <x:c r="M87" s="69" t="str">
        <x:v>2026-08-24</x:v>
      </x:c>
      <x:c r="N87" s="70" t="n">
        <x:v>6.97</x:v>
      </x:c>
      <x:c r="O87" s="70" t="n">
        <x:v>11.5904</x:v>
      </x:c>
      <x:c r="P87" s="68" t="n">
        <x:v>0.0159</x:v>
      </x:c>
      <x:c r="Q87" s="70" t="n">
        <x:v>1.3837</x:v>
      </x:c>
      <x:c r="R87" s="68" t="n">
        <x:v>0.0159</x:v>
      </x:c>
      <x:c r="S87" s="68" t="n">
        <x:v>0.03142</x:v>
      </x:c>
      <x:c r="T87" s="68" t="n">
        <x:v>0.052000000000000005</x:v>
      </x:c>
      <x:c r="U87" s="68" t="n">
        <x:v>0.0279</x:v>
      </x:c>
      <x:c r="V87" s="71" t="n">
        <x:v>39.57</x:v>
      </x:c>
      <x:c r="W87" s="71" t="n">
        <x:v>26.36896768</x:v>
      </x:c>
      <x:c r="X87" s="71" t="n">
        <x:v>1.0563596</x:v>
      </x:c>
      <x:c r="Y87" s="68" t="n">
        <x:v>0.1284</x:v>
      </x:c>
      <x:c r="Z87" s="68" t="n">
        <x:v>0.15689999999999998</x:v>
      </x:c>
      <x:c r="AA87" s="68" t="n">
        <x:v>0.0489</x:v>
      </x:c>
      <x:c r="AB87" s="68" t="n">
        <x:v>-0.07729524112811584</x:v>
      </x:c>
      <x:c r="AC87" s="68" t="n">
        <x:v>0.5487</x:v>
      </x:c>
      <x:c r="AD87" s="60" t="str">
        <x:v>同行估值 97、成长稳定 74</x:v>
      </x:c>
      <x:c r="AE87" s="60" t="str">
        <x:v>现金流 41、稳健性 63</x:v>
      </x:c>
    </x:row>
    <x:row r="88" ht="39.599998474121094" hidden="0" customHeight="1">
      <x:c r="A88" s="60" t="str">
        <x:v>历史深度低估</x:v>
      </x:c>
      <x:c r="B88" s="66" t="str">
        <x:v>601808.SH</x:v>
      </x:c>
      <x:c r="C88" s="60" t="str">
        <x:v>中海油服</x:v>
      </x:c>
      <x:c r="D88" s="60" t="str">
        <x:v>石油</x:v>
      </x:c>
      <x:c r="E88" s="60" t="str">
        <x:v>油服工程</x:v>
      </x:c>
      <x:c r="F88" s="60" t="str">
        <x:v>油田服务</x:v>
      </x:c>
      <x:c r="G88" s="61" t="n">
        <x:v>2</x:v>
      </x:c>
      <x:c r="H88" s="67" t="n">
        <x:v>68.9929</x:v>
      </x:c>
      <x:c r="I88" s="68" t="n">
        <x:v>1</x:v>
      </x:c>
      <x:c r="J88" s="69" t="str">
        <x:v>历史极低位</x:v>
      </x:c>
      <x:c r="K88" s="69" t="str">
        <x:v>完整</x:v>
      </x:c>
      <x:c r="L88" s="69" t="str">
        <x:v>2026-08-19</x:v>
      </x:c>
      <x:c r="M88" s="69" t="str">
        <x:v>2026-08-24</x:v>
      </x:c>
      <x:c r="N88" s="70" t="n">
        <x:v>12.29</x:v>
      </x:c>
      <x:c r="O88" s="70" t="n">
        <x:v>15.3908</x:v>
      </x:c>
      <x:c r="P88" s="68" t="n">
        <x:v>0.030600000000000002</x:v>
      </x:c>
      <x:c r="Q88" s="70" t="n">
        <x:v>1.2343</x:v>
      </x:c>
      <x:c r="R88" s="68" t="n">
        <x:v>0.030600000000000002</x:v>
      </x:c>
      <x:c r="S88" s="68" t="n">
        <x:v>0.023027000000000002</x:v>
      </x:c>
      <x:c r="T88" s="68" t="n">
        <x:v>0.0319</x:v>
      </x:c>
      <x:c r="U88" s="68" t="n">
        <x:v>0.031</x:v>
      </x:c>
      <x:c r="V88" s="71" t="n">
        <x:v>591.2</x:v>
      </x:c>
      <x:c r="W88" s="71" t="n">
        <x:v>154.28765696</x:v>
      </x:c>
      <x:c r="X88" s="71" t="n">
        <x:v>6.32364672</x:v>
      </x:c>
      <x:c r="Y88" s="68" t="n">
        <x:v>0.08539999999999999</x:v>
      </x:c>
      <x:c r="Z88" s="68" t="n">
        <x:v>0.1739</x:v>
      </x:c>
      <x:c r="AA88" s="68" t="n">
        <x:v>0.08070000000000001</x:v>
      </x:c>
      <x:c r="AB88" s="68" t="n">
        <x:v>14.712346840273835</x:v>
      </x:c>
      <x:c r="AC88" s="68" t="n">
        <x:v>0.44179999999999997</x:v>
      </x:c>
      <x:c r="AD88" s="60" t="str">
        <x:v>同行估值 89、行业地位 87</x:v>
      </x:c>
      <x:c r="AE88" s="60" t="str">
        <x:v>成长稳定 35、盈利能力 57</x:v>
      </x:c>
    </x:row>
    <x:row r="89" ht="39.599998474121094" hidden="0" customHeight="1">
      <x:c r="A89" s="60" t="str">
        <x:v>历史深度低估</x:v>
      </x:c>
      <x:c r="B89" s="66" t="str">
        <x:v>300770.SZ</x:v>
      </x:c>
      <x:c r="C89" s="60" t="str">
        <x:v>新媒股份</x:v>
      </x:c>
      <x:c r="D89" s="60" t="str">
        <x:v>传媒</x:v>
      </x:c>
      <x:c r="E89" s="60" t="str">
        <x:v>广播电视</x:v>
      </x:c>
      <x:c r="F89" s="60" t="str">
        <x:v>广播电视</x:v>
      </x:c>
      <x:c r="G89" s="61" t="n">
        <x:v>2</x:v>
      </x:c>
      <x:c r="H89" s="67" t="n">
        <x:v>68.7583</x:v>
      </x:c>
      <x:c r="I89" s="68" t="n">
        <x:v>1</x:v>
      </x:c>
      <x:c r="J89" s="69" t="str">
        <x:v>历史极低位</x:v>
      </x:c>
      <x:c r="K89" s="69" t="str">
        <x:v>完整</x:v>
      </x:c>
      <x:c r="L89" s="69" t="str">
        <x:v>2026-08-19</x:v>
      </x:c>
      <x:c r="M89" s="69" t="str">
        <x:v>2026-08-24</x:v>
      </x:c>
      <x:c r="N89" s="70" t="n">
        <x:v>33.75</x:v>
      </x:c>
      <x:c r="O89" s="70" t="n">
        <x:v>11.9629</x:v>
      </x:c>
      <x:c r="P89" s="68" t="n">
        <x:v>0.16579999999999998</x:v>
      </x:c>
      <x:c r="Q89" s="70" t="n">
        <x:v>2.0709</x:v>
      </x:c>
      <x:c r="R89" s="68" t="n">
        <x:v>0.0629</x:v>
      </x:c>
      <x:c r="S89" s="68" t="n">
        <x:v>0.08296300000000001</x:v>
      </x:c>
      <x:c r="T89" s="68" t="n">
        <x:v>0.060899999999999996</x:v>
      </x:c>
      <x:c r="U89" s="68" t="n">
        <x:v>0.0965</x:v>
      </x:c>
      <x:c r="V89" s="71" t="n">
        <x:v>75.85</x:v>
      </x:c>
      <x:c r="W89" s="71" t="n">
        <x:v>3.89858656</x:v>
      </x:c>
      <x:c r="X89" s="71" t="n">
        <x:v>1.48571712</x:v>
      </x:c>
      <x:c r="Y89" s="68" t="n">
        <x:v>0.1747</x:v>
      </x:c>
      <x:c r="Z89" s="68" t="n">
        <x:v>0.4758</x:v>
      </x:c>
      <x:c r="AA89" s="68" t="n">
        <x:v>0.4057</x:v>
      </x:c>
      <x:c r="AB89" s="68" t="n">
        <x:v>0.14762724144957015</x:v>
      </x:c>
      <x:c r="AC89" s="68" t="n">
        <x:v>0.2242</x:v>
      </x:c>
      <x:c r="AD89" s="60" t="str">
        <x:v>盈利能力 90、成长稳定 86</x:v>
      </x:c>
      <x:c r="AE89" s="60" t="str">
        <x:v>现金流 24、行业地位 62</x:v>
      </x:c>
    </x:row>
    <x:row r="90" ht="39.599998474121094" hidden="0" customHeight="1">
      <x:c r="A90" s="60" t="str">
        <x:v>历史深度低估</x:v>
      </x:c>
      <x:c r="B90" s="66" t="str">
        <x:v>603105.SH</x:v>
      </x:c>
      <x:c r="C90" s="60" t="str">
        <x:v>芯能科技</x:v>
      </x:c>
      <x:c r="D90" s="60" t="str">
        <x:v>公用事业</x:v>
      </x:c>
      <x:c r="E90" s="60" t="str">
        <x:v>电力</x:v>
      </x:c>
      <x:c r="F90" s="60" t="str">
        <x:v>光伏发电</x:v>
      </x:c>
      <x:c r="G90" s="61" t="n">
        <x:v>1</x:v>
      </x:c>
      <x:c r="H90" s="67" t="n">
        <x:v>68.3333</x:v>
      </x:c>
      <x:c r="I90" s="68" t="n">
        <x:v>1</x:v>
      </x:c>
      <x:c r="J90" s="69" t="str">
        <x:v>历史极低位</x:v>
      </x:c>
      <x:c r="K90" s="69" t="str">
        <x:v>完整</x:v>
      </x:c>
      <x:c r="L90" s="69" t="str">
        <x:v>2026-08-19</x:v>
      </x:c>
      <x:c r="M90" s="69" t="str">
        <x:v>2026-08-24</x:v>
      </x:c>
      <x:c r="N90" s="70" t="n">
        <x:v>6.87</x:v>
      </x:c>
      <x:c r="O90" s="70" t="n">
        <x:v>19.5766</x:v>
      </x:c>
      <x:c r="P90" s="68" t="n">
        <x:v>0.1108</x:v>
      </x:c>
      <x:c r="Q90" s="70" t="n">
        <x:v>1.5079</x:v>
      </x:c>
      <x:c r="R90" s="68" t="n">
        <x:v>0.011000000000000001</x:v>
      </x:c>
      <x:c r="S90" s="68" t="n">
        <x:v>0.029112</x:v>
      </x:c>
      <x:c r="T90" s="68" t="n">
        <x:v>0.006</x:v>
      </x:c>
      <x:c r="U90" s="68" t="n">
        <x:v>0.0426</x:v>
      </x:c>
      <x:c r="V90" s="71" t="n">
        <x:v>38.7</x:v>
      </x:c>
      <x:c r="W90" s="71" t="n">
        <x:v>1.52035984</x:v>
      </x:c>
      <x:c r="X90" s="71" t="n">
        <x:v>0.14613818</x:v>
      </x:c>
      <x:c r="Y90" s="68" t="n">
        <x:v>0.0906</x:v>
      </x:c>
      <x:c r="Z90" s="68" t="n">
        <x:v>0.5605</x:v>
      </x:c>
      <x:c r="AA90" s="68" t="n">
        <x:v>0.27190000000000003</x:v>
      </x:c>
      <x:c r="AB90" s="68" t="n">
        <x:v>7.340179547877222</x:v>
      </x:c>
      <x:c r="AC90" s="68" t="n">
        <x:v>0.49670000000000003</x:v>
      </x:c>
      <x:c r="AD90" s="60" t="str">
        <x:v>盈利能力 100、成长稳定 90</x:v>
      </x:c>
      <x:c r="AE90" s="60" t="str">
        <x:v>行业地位 31、稳健性 39</x:v>
      </x:c>
    </x:row>
    <x:row r="91" ht="39.599998474121094" hidden="0" customHeight="1">
      <x:c r="A91" s="60" t="str">
        <x:v>历史深度低估</x:v>
      </x:c>
      <x:c r="B91" s="66" t="str">
        <x:v>603529.SH</x:v>
      </x:c>
      <x:c r="C91" s="60" t="str">
        <x:v>爱玛科技</x:v>
      </x:c>
      <x:c r="D91" s="60" t="str">
        <x:v>汽车</x:v>
      </x:c>
      <x:c r="E91" s="60" t="str">
        <x:v>摩托车及其他</x:v>
      </x:c>
      <x:c r="F91" s="60" t="str">
        <x:v>其他交通设备</x:v>
      </x:c>
      <x:c r="G91" s="61" t="n">
        <x:v>2</x:v>
      </x:c>
      <x:c r="H91" s="67" t="n">
        <x:v>68.3016</x:v>
      </x:c>
      <x:c r="I91" s="68" t="n">
        <x:v>1</x:v>
      </x:c>
      <x:c r="J91" s="69" t="str">
        <x:v>历史极低位</x:v>
      </x:c>
      <x:c r="K91" s="69" t="str">
        <x:v>完整</x:v>
      </x:c>
      <x:c r="L91" s="69" t="str">
        <x:v>2026-08-19</x:v>
      </x:c>
      <x:c r="M91" s="69" t="str">
        <x:v>2026-08-24</x:v>
      </x:c>
      <x:c r="N91" s="70" t="n">
        <x:v>20.95</x:v>
      </x:c>
      <x:c r="O91" s="70" t="n">
        <x:v>11.1359</x:v>
      </x:c>
      <x:c r="P91" s="68" t="n">
        <x:v>0.0978</x:v>
      </x:c>
      <x:c r="Q91" s="70" t="n">
        <x:v>1.7732</x:v>
      </x:c>
      <x:c r="R91" s="68" t="n">
        <x:v>0.0254</x:v>
      </x:c>
      <x:c r="S91" s="68" t="n">
        <x:v>0.05594299999999999</x:v>
      </x:c>
      <x:c r="T91" s="68" t="n">
        <x:v>0.141</x:v>
      </x:c>
      <x:c r="U91" s="68" t="n">
        <x:v>0.08810000000000001</x:v>
      </x:c>
      <x:c r="V91" s="71" t="n">
        <x:v>188.41</x:v>
      </x:c>
      <x:c r="W91" s="71" t="n">
        <x:v>40.0160256</x:v>
      </x:c>
      <x:c r="X91" s="71" t="n">
        <x:v>1.27070936</x:v>
      </x:c>
      <x:c r="Y91" s="68" t="n">
        <x:v>0.2118</x:v>
      </x:c>
      <x:c r="Z91" s="68" t="n">
        <x:v>0.18289999999999998</x:v>
      </x:c>
      <x:c r="AA91" s="68" t="n">
        <x:v>0.08259999999999999</x:v>
      </x:c>
      <x:c r="AB91" s="68" t="n">
        <x:v>-14.044087374944652</x:v>
      </x:c>
      <x:c r="AC91" s="68" t="n">
        <x:v>0.6057</x:v>
      </x:c>
      <x:c r="AD91" s="60" t="str">
        <x:v>成长稳定 93、同行估值 93</x:v>
      </x:c>
      <x:c r="AE91" s="60" t="str">
        <x:v>现金流 0、稳健性 34</x:v>
      </x:c>
    </x:row>
    <x:row r="92" ht="39.599998474121094" hidden="0" customHeight="1">
      <x:c r="A92" s="60" t="str">
        <x:v>历史深度低估</x:v>
      </x:c>
      <x:c r="B92" s="66" t="str">
        <x:v>301199.SZ</x:v>
      </x:c>
      <x:c r="C92" s="60" t="str">
        <x:v>迈赫股份</x:v>
      </x:c>
      <x:c r="D92" s="60" t="str">
        <x:v>机械设备</x:v>
      </x:c>
      <x:c r="E92" s="60" t="str">
        <x:v>自动化设备</x:v>
      </x:c>
      <x:c r="F92" s="60" t="str">
        <x:v>机器人</x:v>
      </x:c>
      <x:c r="G92" s="61" t="n">
        <x:v>2</x:v>
      </x:c>
      <x:c r="H92" s="67" t="n">
        <x:v>67.175</x:v>
      </x:c>
      <x:c r="I92" s="68" t="n">
        <x:v>1</x:v>
      </x:c>
      <x:c r="J92" s="69" t="str">
        <x:v>历史极低位</x:v>
      </x:c>
      <x:c r="K92" s="69" t="str">
        <x:v>完整</x:v>
      </x:c>
      <x:c r="L92" s="69" t="str">
        <x:v>2026-08-19</x:v>
      </x:c>
      <x:c r="M92" s="69" t="str">
        <x:v>2026-08-24</x:v>
      </x:c>
      <x:c r="N92" s="70" t="n">
        <x:v>17.45</x:v>
      </x:c>
      <x:c r="O92" s="70" t="n">
        <x:v>37.7295</x:v>
      </x:c>
      <x:c r="P92" s="68" t="n">
        <x:v>0.0969</x:v>
      </x:c>
      <x:c r="Q92" s="70" t="n">
        <x:v>1.6771</x:v>
      </x:c>
      <x:c r="R92" s="68" t="n">
        <x:v>0.1092</x:v>
      </x:c>
      <x:c r="S92" s="68" t="n">
        <x:v>0.009741999999999999</x:v>
      </x:c>
      <x:c r="T92" s="68" t="n">
        <x:v>0.0123</x:v>
      </x:c>
      <x:c r="U92" s="68" t="n">
        <x:v>0.0728</x:v>
      </x:c>
      <x:c r="V92" s="71" t="n">
        <x:v>32.37</x:v>
      </x:c>
      <x:c r="W92" s="71" t="n">
        <x:v>3.04634848</x:v>
      </x:c>
      <x:c r="X92" s="71" t="n">
        <x:v>0.10011202</x:v>
      </x:c>
      <x:c r="Y92" s="68" t="n">
        <x:v>0.0576</x:v>
      </x:c>
      <x:c r="Z92" s="68" t="n">
        <x:v>0.22510000000000002</x:v>
      </x:c>
      <x:c r="AA92" s="68" t="n">
        <x:v>0.0934</x:v>
      </x:c>
      <x:c r="AB92" s="68" t="n">
        <x:v>17.558994414456926</x:v>
      </x:c>
      <x:c r="AC92" s="68" t="n">
        <x:v>0.38049999999999995</x:v>
      </x:c>
      <x:c r="AD92" s="60" t="str">
        <x:v>同行估值 98、盈利能力 80</x:v>
      </x:c>
      <x:c r="AE92" s="60" t="str">
        <x:v>行业地位 48、稳健性 55</x:v>
      </x:c>
    </x:row>
    <x:row r="93" ht="39.599998474121094" hidden="0" customHeight="1">
      <x:c r="A93" s="60" t="str">
        <x:v>历史深度低估</x:v>
      </x:c>
      <x:c r="B93" s="66" t="str">
        <x:v>600517.SH</x:v>
      </x:c>
      <x:c r="C93" s="60" t="str">
        <x:v>国网英大</x:v>
      </x:c>
      <x:c r="D93" s="60" t="str">
        <x:v>非银金融</x:v>
      </x:c>
      <x:c r="E93" s="60" t="str">
        <x:v>多元金融</x:v>
      </x:c>
      <x:c r="F93" s="60" t="str">
        <x:v>信托</x:v>
      </x:c>
      <x:c r="G93" s="61" t="n">
        <x:v>1</x:v>
      </x:c>
      <x:c r="H93" s="67" t="n">
        <x:v>67.0357</x:v>
      </x:c>
      <x:c r="I93" s="68" t="n">
        <x:v>1</x:v>
      </x:c>
      <x:c r="J93" s="69" t="str">
        <x:v>历史极低位</x:v>
      </x:c>
      <x:c r="K93" s="69" t="str">
        <x:v>完整</x:v>
      </x:c>
      <x:c r="L93" s="69" t="str">
        <x:v>2026-08-19</x:v>
      </x:c>
      <x:c r="M93" s="69" t="str">
        <x:v>2026-08-24</x:v>
      </x:c>
      <x:c r="N93" s="70" t="n">
        <x:v>4.87</x:v>
      </x:c>
      <x:c r="O93" s="70" t="n">
        <x:v>12.0216</x:v>
      </x:c>
      <x:c r="P93" s="68" t="n">
        <x:v>0.014499999999999999</x:v>
      </x:c>
      <x:c r="Q93" s="70" t="n">
        <x:v>1.1621</x:v>
      </x:c>
      <x:c r="R93" s="68" t="n">
        <x:v>0.0397</x:v>
      </x:c>
      <x:c r="S93" s="68" t="n">
        <x:v>0.027515</x:v>
      </x:c>
      <x:c r="T93" s="68" t="n">
        <x:v>0.024700000000000003</x:v>
      </x:c>
      <x:c r="U93" s="68" t="n">
        <x:v>0.0263</x:v>
      </x:c>
      <x:c r="V93" s="71" t="n">
        <x:v>277.34</x:v>
      </x:c>
      <x:c r="W93" s="71" t="n">
        <x:v>31.61010176</x:v>
      </x:c>
      <x:c r="X93" s="71" t="n">
        <x:v>2.97712608</x:v>
      </x:c>
      <x:c r="Y93" s="68" t="n">
        <x:v>0.1124</x:v>
      </x:c>
      <x:c r="Z93" s="68" t="n">
        <x:v>0.1438</x:v>
      </x:c>
      <x:c r="AA93" s="68" t="n">
        <x:v>0.405</x:v>
      </x:c>
      <x:c r="AB93" s="68" t="n">
        <x:v>12.460954612980315</x:v>
      </x:c>
      <x:c r="AC93" s="68" t="n">
        <x:v>0.4107</x:v>
      </x:c>
      <x:c r="AD93" s="60" t="str">
        <x:v>现金流 90、行业地位 85</x:v>
      </x:c>
      <x:c r="AE93" s="60" t="str">
        <x:v>成长稳定 29、同行估值 50</x:v>
      </x:c>
    </x:row>
    <x:row r="94" ht="39.599998474121094" hidden="0" customHeight="1">
      <x:c r="A94" s="60" t="str">
        <x:v>历史深度低估</x:v>
      </x:c>
      <x:c r="B94" s="66" t="str">
        <x:v>600009.SH</x:v>
      </x:c>
      <x:c r="C94" s="60" t="str">
        <x:v>上海机场</x:v>
      </x:c>
      <x:c r="D94" s="60" t="str">
        <x:v>交通运输</x:v>
      </x:c>
      <x:c r="E94" s="60" t="str">
        <x:v>航空机场</x:v>
      </x:c>
      <x:c r="F94" s="60" t="str">
        <x:v>机场</x:v>
      </x:c>
      <x:c r="G94" s="61" t="n">
        <x:v>1</x:v>
      </x:c>
      <x:c r="H94" s="67" t="n">
        <x:v>66.8929</x:v>
      </x:c>
      <x:c r="I94" s="68" t="n">
        <x:v>1</x:v>
      </x:c>
      <x:c r="J94" s="69" t="str">
        <x:v>历史极低位</x:v>
      </x:c>
      <x:c r="K94" s="69" t="str">
        <x:v>完整</x:v>
      </x:c>
      <x:c r="L94" s="69" t="str">
        <x:v>2026-08-19</x:v>
      </x:c>
      <x:c r="M94" s="69" t="str">
        <x:v>2026-08-24</x:v>
      </x:c>
      <x:c r="N94" s="70" t="n">
        <x:v>22.95</x:v>
      </x:c>
      <x:c r="O94" s="70" t="n">
        <x:v>26.2489</x:v>
      </x:c>
      <x:c r="P94" s="68" t="n">
        <x:v>0.0147</x:v>
      </x:c>
      <x:c r="Q94" s="70" t="n">
        <x:v>1.3242</x:v>
      </x:c>
      <x:c r="R94" s="68" t="n">
        <x:v>0.0052</x:v>
      </x:c>
      <x:c r="S94" s="68" t="n">
        <x:v>0.020478999999999997</x:v>
      </x:c>
      <x:c r="T94" s="68" t="n">
        <x:v>0.1013</x:v>
      </x:c>
      <x:c r="U94" s="68" t="n">
        <x:v>0.0404</x:v>
      </x:c>
      <x:c r="V94" s="71" t="n">
        <x:v>576.54</x:v>
      </x:c>
      <x:c r="W94" s="71" t="n">
        <x:v>36.32266752</x:v>
      </x:c>
      <x:c r="X94" s="71" t="n">
        <x:v>4.82761152</x:v>
      </x:c>
      <x:c r="Y94" s="68" t="n">
        <x:v>0.050300000000000004</x:v>
      </x:c>
      <x:c r="Z94" s="68" t="n">
        <x:v>0.2751</x:v>
      </x:c>
      <x:c r="AA94" s="68" t="n">
        <x:v>0.18059999999999998</x:v>
      </x:c>
      <x:c r="AB94" s="68" t="n">
        <x:v>3.7190070505093167</x:v>
      </x:c>
      <x:c r="AC94" s="68" t="n">
        <x:v>0.3786</x:v>
      </x:c>
      <x:c r="AD94" s="60" t="str">
        <x:v>行业地位 100、成长稳定 89</x:v>
      </x:c>
      <x:c r="AE94" s="60" t="str">
        <x:v>同行估值 18、稳健性 42</x:v>
      </x:c>
    </x:row>
    <x:row r="95" ht="39.599998474121094" hidden="0" customHeight="1">
      <x:c r="A95" s="60" t="str">
        <x:v>历史深度低估</x:v>
      </x:c>
      <x:c r="B95" s="66" t="str">
        <x:v>301078.SZ</x:v>
      </x:c>
      <x:c r="C95" s="60" t="str">
        <x:v>孩子王</x:v>
      </x:c>
      <x:c r="D95" s="60" t="str">
        <x:v>商贸</x:v>
      </x:c>
      <x:c r="E95" s="60" t="str">
        <x:v>专业连锁</x:v>
      </x:c>
      <x:c r="F95" s="60" t="str">
        <x:v>专业连锁</x:v>
      </x:c>
      <x:c r="G95" s="61" t="n">
        <x:v>1</x:v>
      </x:c>
      <x:c r="H95" s="67" t="n">
        <x:v>66.6458</x:v>
      </x:c>
      <x:c r="I95" s="68" t="n">
        <x:v>1</x:v>
      </x:c>
      <x:c r="J95" s="69" t="str">
        <x:v>历史极低位</x:v>
      </x:c>
      <x:c r="K95" s="69" t="str">
        <x:v>完整</x:v>
      </x:c>
      <x:c r="L95" s="69" t="str">
        <x:v>2026-08-19</x:v>
      </x:c>
      <x:c r="M95" s="69" t="str">
        <x:v>2026-08-24</x:v>
      </x:c>
      <x:c r="N95" s="70" t="n">
        <x:v>6.98</x:v>
      </x:c>
      <x:c r="O95" s="70" t="n">
        <x:v>27.9985</x:v>
      </x:c>
      <x:c r="P95" s="68" t="n">
        <x:v>0.013999999999999999</x:v>
      </x:c>
      <x:c r="Q95" s="70" t="n">
        <x:v>2.0504</x:v>
      </x:c>
      <x:c r="R95" s="68" t="n">
        <x:v>0.08109999999999999</x:v>
      </x:c>
      <x:c r="S95" s="68" t="n">
        <x:v>0.010745</x:v>
      </x:c>
      <x:c r="T95" s="68" t="n">
        <x:v>0.0215</x:v>
      </x:c>
      <x:c r="U95" s="68" t="n">
        <x:v>0.038900000000000004</x:v>
      </x:c>
      <x:c r="V95" s="71" t="n">
        <x:v>87.51</x:v>
      </x:c>
      <x:c r="W95" s="71" t="n">
        <x:v>29.24682752</x:v>
      </x:c>
      <x:c r="X95" s="71" t="n">
        <x:v>0.8851508</x:v>
      </x:c>
      <x:c r="Y95" s="68" t="n">
        <x:v>0.07150000000000001</x:v>
      </x:c>
      <x:c r="Z95" s="68" t="n">
        <x:v>0.2954</x:v>
      </x:c>
      <x:c r="AA95" s="68" t="n">
        <x:v>0.0347</x:v>
      </x:c>
      <x:c r="AB95" s="68" t="n">
        <x:v>3.879692183523983</x:v>
      </x:c>
      <x:c r="AC95" s="68" t="n">
        <x:v>0.6269</x:v>
      </x:c>
      <x:c r="AD95" s="60" t="str">
        <x:v>行业地位 83、盈利能力 77</x:v>
      </x:c>
      <x:c r="AE95" s="60" t="str">
        <x:v>稳健性 27、现金流 56</x:v>
      </x:c>
    </x:row>
    <x:row r="96" ht="39.599998474121094" hidden="0" customHeight="1">
      <x:c r="A96" s="60" t="str">
        <x:v>历史深度低估</x:v>
      </x:c>
      <x:c r="B96" s="66" t="str">
        <x:v>300320.SZ</x:v>
      </x:c>
      <x:c r="C96" s="60" t="str">
        <x:v>海达股份</x:v>
      </x:c>
      <x:c r="D96" s="60" t="str">
        <x:v>化工</x:v>
      </x:c>
      <x:c r="E96" s="60" t="str">
        <x:v>橡胶</x:v>
      </x:c>
      <x:c r="F96" s="60" t="str">
        <x:v>橡胶制品</x:v>
      </x:c>
      <x:c r="G96" s="61" t="n">
        <x:v>2</x:v>
      </x:c>
      <x:c r="H96" s="67" t="n">
        <x:v>66.4475</x:v>
      </x:c>
      <x:c r="I96" s="68" t="n">
        <x:v>1</x:v>
      </x:c>
      <x:c r="J96" s="69" t="str">
        <x:v>历史极低位</x:v>
      </x:c>
      <x:c r="K96" s="69" t="str">
        <x:v>完整</x:v>
      </x:c>
      <x:c r="L96" s="69" t="str">
        <x:v>2026-08-19</x:v>
      </x:c>
      <x:c r="M96" s="69" t="str">
        <x:v>2026-08-24</x:v>
      </x:c>
      <x:c r="N96" s="70" t="n">
        <x:v>8.46</x:v>
      </x:c>
      <x:c r="O96" s="70" t="n">
        <x:v>21.0004</x:v>
      </x:c>
      <x:c r="P96" s="68" t="n">
        <x:v>0.0339</x:v>
      </x:c>
      <x:c r="Q96" s="70" t="n">
        <x:v>1.9617</x:v>
      </x:c>
      <x:c r="R96" s="68" t="n">
        <x:v>0.0993</x:v>
      </x:c>
      <x:c r="S96" s="68" t="n">
        <x:v>0.0059099999999999995</x:v>
      </x:c>
      <x:c r="T96" s="68" t="n">
        <x:v>0.0335</x:v>
      </x:c>
      <x:c r="U96" s="68" t="n">
        <x:v>0.0556</x:v>
      </x:c>
      <x:c r="V96" s="71" t="n">
        <x:v>50.68</x:v>
      </x:c>
      <x:c r="W96" s="71" t="n">
        <x:v>9.30888256</x:v>
      </x:c>
      <x:c r="X96" s="71" t="n">
        <x:v>0.6571644</x:v>
      </x:c>
      <x:c r="Y96" s="68" t="n">
        <x:v>0.0956</x:v>
      </x:c>
      <x:c r="Z96" s="68" t="n">
        <x:v>0.1884</x:v>
      </x:c>
      <x:c r="AA96" s="68" t="n">
        <x:v>0.0658</x:v>
      </x:c>
      <x:c r="AB96" s="68" t="n">
        <x:v>1.4590892628998162</x:v>
      </x:c>
      <x:c r="AC96" s="68" t="n">
        <x:v>0.3226</x:v>
      </x:c>
      <x:c r="AD96" s="60" t="str">
        <x:v>行业地位 83、成长稳定 82</x:v>
      </x:c>
      <x:c r="AE96" s="60" t="str">
        <x:v>稳健性 37、盈利能力 56</x:v>
      </x:c>
    </x:row>
    <x:row r="97" ht="39.599998474121094" hidden="0" customHeight="1">
      <x:c r="A97" s="60" t="str">
        <x:v>历史深度低估</x:v>
      </x:c>
      <x:c r="B97" s="66" t="str">
        <x:v>600132.SH</x:v>
      </x:c>
      <x:c r="C97" s="60" t="str">
        <x:v>重庆啤酒</x:v>
      </x:c>
      <x:c r="D97" s="60" t="str">
        <x:v>食品饮料</x:v>
      </x:c>
      <x:c r="E97" s="60" t="str">
        <x:v>酿酒</x:v>
      </x:c>
      <x:c r="F97" s="60" t="str">
        <x:v>啤酒</x:v>
      </x:c>
      <x:c r="G97" s="61" t="n">
        <x:v>1</x:v>
      </x:c>
      <x:c r="H97" s="67" t="n">
        <x:v>66.4185</x:v>
      </x:c>
      <x:c r="I97" s="68" t="n">
        <x:v>1</x:v>
      </x:c>
      <x:c r="J97" s="69" t="str">
        <x:v>历史极低位</x:v>
      </x:c>
      <x:c r="K97" s="69" t="str">
        <x:v>完整</x:v>
      </x:c>
      <x:c r="L97" s="69" t="str">
        <x:v>2026-08-19</x:v>
      </x:c>
      <x:c r="M97" s="69" t="str">
        <x:v>2026-08-24</x:v>
      </x:c>
      <x:c r="N97" s="70" t="n">
        <x:v>42.51</x:v>
      </x:c>
      <x:c r="O97" s="70" t="n">
        <x:v>17.2029</x:v>
      </x:c>
      <x:c r="P97" s="68" t="n">
        <x:v>0.0106</x:v>
      </x:c>
      <x:c r="Q97" s="70" t="n">
        <x:v>11.2516</x:v>
      </x:c>
      <x:c r="R97" s="68" t="n">
        <x:v>0.0192</x:v>
      </x:c>
      <x:c r="S97" s="68" t="n">
        <x:v>0.05881</x:v>
      </x:c>
      <x:c r="T97" s="68" t="n">
        <x:v>0.1318</x:v>
      </x:c>
      <x:c r="U97" s="68" t="n">
        <x:v>0.053899999999999997</x:v>
      </x:c>
      <x:c r="V97" s="71" t="n">
        <x:v>191.51</x:v>
      </x:c>
      <x:c r="W97" s="71" t="n">
        <x:v>16.63118336</x:v>
      </x:c>
      <x:c r="X97" s="71" t="n">
        <x:v>-0.10033779</x:v>
      </x:c>
      <x:c r="Y97" s="68" t="n">
        <x:v>0.8168000000000001</x:v>
      </x:c>
      <x:c r="Z97" s="68" t="n">
        <x:v>0.5088</x:v>
      </x:c>
      <x:c r="AA97" s="68" t="n">
        <x:v>0.16829999999999998</x:v>
      </x:c>
      <x:c r="AB97" s="68" t="n">
        <x:v>130.03135907219004</x:v>
      </x:c>
      <x:c r="AC97" s="68" t="n">
        <x:v>0.7323999999999999</x:v>
      </x:c>
      <x:c r="AD97" s="60" t="str">
        <x:v>盈利能力 100、行业地位 77</x:v>
      </x:c>
      <x:c r="AE97" s="60" t="str">
        <x:v>成长稳定 38、同行估值 44</x:v>
      </x:c>
    </x:row>
    <x:row r="98" ht="39.599998474121094" hidden="0" customHeight="1">
      <x:c r="A98" s="60" t="str">
        <x:v>历史深度低估</x:v>
      </x:c>
      <x:c r="B98" s="66" t="str">
        <x:v>600754.SH</x:v>
      </x:c>
      <x:c r="C98" s="60" t="str">
        <x:v>锦江酒店</x:v>
      </x:c>
      <x:c r="D98" s="60" t="str">
        <x:v>社会服务</x:v>
      </x:c>
      <x:c r="E98" s="60" t="str">
        <x:v>酒店餐饮</x:v>
      </x:c>
      <x:c r="F98" s="60" t="str">
        <x:v>酒店</x:v>
      </x:c>
      <x:c r="G98" s="61" t="n">
        <x:v>2</x:v>
      </x:c>
      <x:c r="H98" s="67" t="n">
        <x:v>66</x:v>
      </x:c>
      <x:c r="I98" s="68" t="n">
        <x:v>1</x:v>
      </x:c>
      <x:c r="J98" s="69" t="str">
        <x:v>历史极低位</x:v>
      </x:c>
      <x:c r="K98" s="69" t="str">
        <x:v>完整</x:v>
      </x:c>
      <x:c r="L98" s="69" t="str">
        <x:v>2026-08-19</x:v>
      </x:c>
      <x:c r="M98" s="69" t="str">
        <x:v>2026-08-24</x:v>
      </x:c>
      <x:c r="N98" s="70" t="n">
        <x:v>18.82</x:v>
      </x:c>
      <x:c r="O98" s="70" t="n">
        <x:v>19.5123</x:v>
      </x:c>
      <x:c r="P98" s="68" t="n">
        <x:v>0.0364</x:v>
      </x:c>
      <x:c r="Q98" s="70" t="n">
        <x:v>1.2426</x:v>
      </x:c>
      <x:c r="R98" s="68" t="n">
        <x:v>0.018500000000000003</x:v>
      </x:c>
      <x:c r="S98" s="68" t="n">
        <x:v>0.027099</x:v>
      </x:c>
      <x:c r="T98" s="68" t="n">
        <x:v>0.06</x:v>
      </x:c>
      <x:c r="U98" s="68" t="n">
        <x:v>0.0383</x:v>
      </x:c>
      <x:c r="V98" s="71" t="n">
        <x:v>202.92</x:v>
      </x:c>
      <x:c r="W98" s="71" t="n">
        <x:v>35.69724928</x:v>
      </x:c>
      <x:c r="X98" s="71" t="n">
        <x:v>1.79400192</x:v>
      </x:c>
      <x:c r="Y98" s="68" t="n">
        <x:v>0.058899999999999994</x:v>
      </x:c>
      <x:c r="Z98" s="68" t="n">
        <x:v>0.38380000000000003</x:v>
      </x:c>
      <x:c r="AA98" s="68" t="n">
        <x:v>0.0716</x:v>
      </x:c>
      <x:c r="AB98" s="68" t="n">
        <x:v>2.8516810505977603</x:v>
      </x:c>
      <x:c r="AC98" s="68" t="n">
        <x:v>0.6455</x:v>
      </x:c>
      <x:c r="AD98" s="60" t="str">
        <x:v>行业地位 100、盈利能力 75</x:v>
      </x:c>
      <x:c r="AE98" s="60" t="str">
        <x:v>稳健性 18、现金流 40</x:v>
      </x:c>
    </x:row>
    <x:row r="99" ht="39.599998474121094" hidden="0" customHeight="1">
      <x:c r="A99" s="60" t="str">
        <x:v>历史深度低估</x:v>
      </x:c>
      <x:c r="B99" s="66" t="str">
        <x:v>002507.SZ</x:v>
      </x:c>
      <x:c r="C99" s="60" t="str">
        <x:v>涪陵榨菜</x:v>
      </x:c>
      <x:c r="D99" s="60" t="str">
        <x:v>食品饮料</x:v>
      </x:c>
      <x:c r="E99" s="60" t="str">
        <x:v>调味品</x:v>
      </x:c>
      <x:c r="F99" s="60" t="str">
        <x:v>调味品</x:v>
      </x:c>
      <x:c r="G99" s="61" t="n">
        <x:v>2</x:v>
      </x:c>
      <x:c r="H99" s="67" t="n">
        <x:v>65.8545</x:v>
      </x:c>
      <x:c r="I99" s="68" t="n">
        <x:v>1</x:v>
      </x:c>
      <x:c r="J99" s="69" t="str">
        <x:v>历史极低位</x:v>
      </x:c>
      <x:c r="K99" s="69" t="str">
        <x:v>完整</x:v>
      </x:c>
      <x:c r="L99" s="69" t="str">
        <x:v>2026-08-19</x:v>
      </x:c>
      <x:c r="M99" s="69" t="str">
        <x:v>2026-08-24</x:v>
      </x:c>
      <x:c r="N99" s="70" t="n">
        <x:v>11.38</x:v>
      </x:c>
      <x:c r="O99" s="70" t="n">
        <x:v>17.0933</x:v>
      </x:c>
      <x:c r="P99" s="68" t="n">
        <x:v>0.055099999999999996</x:v>
      </x:c>
      <x:c r="Q99" s="70" t="n">
        <x:v>1.4554</x:v>
      </x:c>
      <x:c r="R99" s="68" t="n">
        <x:v>0.0167</x:v>
      </x:c>
      <x:c r="S99" s="68" t="n">
        <x:v>0.036907</x:v>
      </x:c>
      <x:c r="T99" s="68" t="n">
        <x:v>0.1036</x:v>
      </x:c>
      <x:c r="U99" s="68" t="n">
        <x:v>0.058499999999999996</x:v>
      </x:c>
      <x:c r="V99" s="71" t="n">
        <x:v>129.12</x:v>
      </x:c>
      <x:c r="W99" s="71" t="n">
        <x:v>4.33345408</x:v>
      </x:c>
      <x:c r="X99" s="71" t="n">
        <x:v>0.95064056</x:v>
      </x:c>
      <x:c r="Y99" s="68" t="n">
        <x:v>0.0873</x:v>
      </x:c>
      <x:c r="Z99" s="68" t="n">
        <x:v>0.5163</x:v>
      </x:c>
      <x:c r="AA99" s="68" t="n">
        <x:v>0.31579999999999997</x:v>
      </x:c>
      <x:c r="AB99" s="68" t="n">
        <x:v>2.211775184513482</x:v>
      </x:c>
      <x:c r="AC99" s="68" t="n">
        <x:v>0.0964</x:v>
      </x:c>
      <x:c r="AD99" s="60" t="str">
        <x:v>同行估值 86、稳健性 82</x:v>
      </x:c>
      <x:c r="AE99" s="60" t="str">
        <x:v>成长稳定 37、行业地位 57</x:v>
      </x:c>
    </x:row>
    <x:row r="100" ht="39.599998474121094" hidden="0" customHeight="1">
      <x:c r="A100" s="60" t="str">
        <x:v>历史深度低估</x:v>
      </x:c>
      <x:c r="B100" s="66" t="str">
        <x:v>601311.SH</x:v>
      </x:c>
      <x:c r="C100" s="60" t="str">
        <x:v>骆驼股份</x:v>
      </x:c>
      <x:c r="D100" s="60" t="str">
        <x:v>电力设备</x:v>
      </x:c>
      <x:c r="E100" s="60" t="str">
        <x:v>电池</x:v>
      </x:c>
      <x:c r="F100" s="60" t="str">
        <x:v>其他电池</x:v>
      </x:c>
      <x:c r="G100" s="61" t="n">
        <x:v>2</x:v>
      </x:c>
      <x:c r="H100" s="67" t="n">
        <x:v>64.1643</x:v>
      </x:c>
      <x:c r="I100" s="68" t="n">
        <x:v>1</x:v>
      </x:c>
      <x:c r="J100" s="69" t="str">
        <x:v>历史极低位</x:v>
      </x:c>
      <x:c r="K100" s="69" t="str">
        <x:v>完整</x:v>
      </x:c>
      <x:c r="L100" s="69" t="str">
        <x:v>2026-08-19</x:v>
      </x:c>
      <x:c r="M100" s="69" t="str">
        <x:v>2026-08-24</x:v>
      </x:c>
      <x:c r="N100" s="70" t="n">
        <x:v>7.63</x:v>
      </x:c>
      <x:c r="O100" s="70" t="n">
        <x:v>11.7713</x:v>
      </x:c>
      <x:c r="P100" s="68" t="n">
        <x:v>0.0059</x:v>
      </x:c>
      <x:c r="Q100" s="70" t="n">
        <x:v>0.8744</x:v>
      </x:c>
      <x:c r="R100" s="68" t="n">
        <x:v>0.0126</x:v>
      </x:c>
      <x:c r="S100" s="68" t="n">
        <x:v>0.047182</x:v>
      </x:c>
      <x:c r="T100" s="68" t="n">
        <x:v>0.0053</x:v>
      </x:c>
      <x:c r="U100" s="68" t="n">
        <x:v>0.0079</x:v>
      </x:c>
      <x:c r="V100" s="71" t="n">
        <x:v>86.23</x:v>
      </x:c>
      <x:c r="W100" s="71" t="n">
        <x:v>41.61309952</x:v>
      </x:c>
      <x:c r="X100" s="71" t="n">
        <x:v>2.18971216</x:v>
      </x:c>
      <x:c r="Y100" s="68" t="n">
        <x:v>0.08529999999999999</x:v>
      </x:c>
      <x:c r="Z100" s="68" t="n">
        <x:v>0.1505</x:v>
      </x:c>
      <x:c r="AA100" s="68" t="n">
        <x:v>0.0521</x:v>
      </x:c>
      <x:c r="AB100" s="68" t="n">
        <x:v>2.5701639981759064</x:v>
      </x:c>
      <x:c r="AC100" s="68" t="n">
        <x:v>0.3471</x:v>
      </x:c>
      <x:c r="AD100" s="60" t="str">
        <x:v>同行估值 100、成长稳定 78</x:v>
      </x:c>
      <x:c r="AE100" s="60" t="str">
        <x:v>现金流 42、盈利能力 46</x:v>
      </x:c>
    </x:row>
    <x:row r="101" ht="39.599998474121094" hidden="0" customHeight="1">
      <x:c r="A101" s="60" t="str">
        <x:v>历史深度低估</x:v>
      </x:c>
      <x:c r="B101" s="66" t="str">
        <x:v>301101.SZ</x:v>
      </x:c>
      <x:c r="C101" s="60" t="str">
        <x:v>明月镜片</x:v>
      </x:c>
      <x:c r="D101" s="60" t="str">
        <x:v>轻工制造</x:v>
      </x:c>
      <x:c r="E101" s="60" t="str">
        <x:v>文娱用品</x:v>
      </x:c>
      <x:c r="F101" s="60" t="str">
        <x:v>文化用品</x:v>
      </x:c>
      <x:c r="G101" s="61" t="n">
        <x:v>2</x:v>
      </x:c>
      <x:c r="H101" s="67" t="n">
        <x:v>63.875</x:v>
      </x:c>
      <x:c r="I101" s="68" t="n">
        <x:v>1</x:v>
      </x:c>
      <x:c r="J101" s="69" t="str">
        <x:v>历史极低位</x:v>
      </x:c>
      <x:c r="K101" s="69" t="str">
        <x:v>完整</x:v>
      </x:c>
      <x:c r="L101" s="69" t="str">
        <x:v>2026-08-19</x:v>
      </x:c>
      <x:c r="M101" s="69" t="str">
        <x:v>2026-08-24</x:v>
      </x:c>
      <x:c r="N101" s="70" t="n">
        <x:v>28.77</x:v>
      </x:c>
      <x:c r="O101" s="70" t="n">
        <x:v>28.712</x:v>
      </x:c>
      <x:c r="P101" s="68" t="n">
        <x:v>0.0658</x:v>
      </x:c>
      <x:c r="Q101" s="70" t="n">
        <x:v>3.1879</x:v>
      </x:c>
      <x:c r="R101" s="68" t="n">
        <x:v>0.09050000000000001</x:v>
      </x:c>
      <x:c r="S101" s="68" t="n">
        <x:v>0.017379</x:v>
      </x:c>
      <x:c r="T101" s="68" t="n">
        <x:v>0.0259</x:v>
      </x:c>
      <x:c r="U101" s="68" t="n">
        <x:v>0.060700000000000004</x:v>
      </x:c>
      <x:c r="V101" s="71" t="n">
        <x:v>56.77</x:v>
      </x:c>
      <x:c r="W101" s="71" t="n">
        <x:v>2.01130528</x:v>
      </x:c>
      <x:c r="X101" s="71" t="n">
        <x:v>0.43821604</x:v>
      </x:c>
      <x:c r="Y101" s="68" t="n">
        <x:v>0.113</x:v>
      </x:c>
      <x:c r="Z101" s="68" t="n">
        <x:v>0.5735</x:v>
      </x:c>
      <x:c r="AA101" s="68" t="n">
        <x:v>0.2462</x:v>
      </x:c>
      <x:c r="AB101" s="68" t="n">
        <x:v>2.788721106603036</x:v>
      </x:c>
      <x:c r="AC101" s="68" t="n">
        <x:v>0.1073</x:v>
      </x:c>
      <x:c r="AD101" s="60" t="str">
        <x:v>盈利能力 80、现金流 80</x:v>
      </x:c>
      <x:c r="AE101" s="60" t="str">
        <x:v>同行估值 42、行业地位 52</x:v>
      </x:c>
    </x:row>
    <x:row r="102" ht="39.599998474121094" hidden="0" customHeight="1">
      <x:c r="A102" s="60" t="str">
        <x:v>历史深度低估</x:v>
      </x:c>
      <x:c r="B102" s="66" t="str">
        <x:v>000913.SZ</x:v>
      </x:c>
      <x:c r="C102" s="60" t="str">
        <x:v>钱江摩托</x:v>
      </x:c>
      <x:c r="D102" s="60" t="str">
        <x:v>汽车</x:v>
      </x:c>
      <x:c r="E102" s="60" t="str">
        <x:v>摩托车及其他</x:v>
      </x:c>
      <x:c r="F102" s="60" t="str">
        <x:v>摩托车</x:v>
      </x:c>
      <x:c r="G102" s="61" t="n">
        <x:v>2</x:v>
      </x:c>
      <x:c r="H102" s="67" t="n">
        <x:v>62.3321</x:v>
      </x:c>
      <x:c r="I102" s="68" t="n">
        <x:v>1</x:v>
      </x:c>
      <x:c r="J102" s="69" t="str">
        <x:v>历史极低位</x:v>
      </x:c>
      <x:c r="K102" s="69" t="str">
        <x:v>完整</x:v>
      </x:c>
      <x:c r="L102" s="69" t="str">
        <x:v>2026-08-19</x:v>
      </x:c>
      <x:c r="M102" s="69" t="str">
        <x:v>2026-08-24</x:v>
      </x:c>
      <x:c r="N102" s="70" t="n">
        <x:v>11.29</x:v>
      </x:c>
      <x:c r="O102" s="70" t="n">
        <x:v>6.9795</x:v>
      </x:c>
      <x:c r="P102" s="68" t="n">
        <x:v>0.0282</x:v>
      </x:c>
      <x:c r="Q102" s="70" t="n">
        <x:v>1.1153</x:v>
      </x:c>
      <x:c r="R102" s="68" t="n">
        <x:v>0.028999999999999998</x:v>
      </x:c>
      <x:c r="S102" s="68" t="n">
        <x:v>0.097431</x:v>
      </x:c>
      <x:c r="T102" s="68" t="n">
        <x:v>0.048499999999999995</x:v>
      </x:c>
      <x:c r="U102" s="68" t="n">
        <x:v>0.0352</x:v>
      </x:c>
      <x:c r="V102" s="71" t="n">
        <x:v>60.01</x:v>
      </x:c>
      <x:c r="W102" s="71" t="n">
        <x:v>9.88396672</x:v>
      </x:c>
      <x:c r="X102" s="71" t="n">
        <x:v>6.56824448</x:v>
      </x:c>
      <x:c r="Y102" s="68" t="n">
        <x:v>0.19149999999999998</x:v>
      </x:c>
      <x:c r="Z102" s="68" t="n">
        <x:v>0.2516</x:v>
      </x:c>
      <x:c r="AA102" s="68" t="n">
        <x:v>0.17980000000000002</x:v>
      </x:c>
      <x:c r="AB102" s="68" t="n">
        <x:v>-0.9108397621642732</x:v>
      </x:c>
      <x:c r="AC102" s="68" t="n">
        <x:v>0.4586</x:v>
      </x:c>
      <x:c r="AD102" s="60" t="str">
        <x:v>同行估值 100、盈利能力 86</x:v>
      </x:c>
      <x:c r="AE102" s="60" t="str">
        <x:v>现金流 18、成长稳定 51</x:v>
      </x:c>
    </x:row>
    <x:row r="103" ht="39.599998474121094" hidden="0" customHeight="1">
      <x:c r="A103" s="60" t="str">
        <x:v>历史深度低估</x:v>
      </x:c>
      <x:c r="B103" s="66" t="str">
        <x:v>603043.SH</x:v>
      </x:c>
      <x:c r="C103" s="60" t="str">
        <x:v>广州酒家</x:v>
      </x:c>
      <x:c r="D103" s="60" t="str">
        <x:v>食品饮料</x:v>
      </x:c>
      <x:c r="E103" s="60" t="str">
        <x:v>休闲食品</x:v>
      </x:c>
      <x:c r="F103" s="60" t="str">
        <x:v>烘焙食品</x:v>
      </x:c>
      <x:c r="G103" s="61" t="n">
        <x:v>2</x:v>
      </x:c>
      <x:c r="H103" s="67" t="n">
        <x:v>62.3208</x:v>
      </x:c>
      <x:c r="I103" s="68" t="n">
        <x:v>1</x:v>
      </x:c>
      <x:c r="J103" s="69" t="str">
        <x:v>历史极低位</x:v>
      </x:c>
      <x:c r="K103" s="69" t="str">
        <x:v>完整</x:v>
      </x:c>
      <x:c r="L103" s="69" t="str">
        <x:v>2026-08-19</x:v>
      </x:c>
      <x:c r="M103" s="69" t="str">
        <x:v>2026-08-24</x:v>
      </x:c>
      <x:c r="N103" s="70" t="n">
        <x:v>13.95</x:v>
      </x:c>
      <x:c r="O103" s="70" t="n">
        <x:v>16.1588</x:v>
      </x:c>
      <x:c r="P103" s="68" t="n">
        <x:v>0.0766</x:v>
      </x:c>
      <x:c r="Q103" s="70" t="n">
        <x:v>1.9823</x:v>
      </x:c>
      <x:c r="R103" s="68" t="n">
        <x:v>0.0326</x:v>
      </x:c>
      <x:c r="S103" s="68" t="n">
        <x:v>0.035842</x:v>
      </x:c>
      <x:c r="T103" s="68" t="n">
        <x:v>0.0731</x:v>
      </x:c>
      <x:c r="U103" s="68" t="n">
        <x:v>0.0608</x:v>
      </x:c>
      <x:c r="V103" s="71" t="n">
        <x:v>76.35</x:v>
      </x:c>
      <x:c r="W103" s="71" t="n">
        <x:v>10.97266944</x:v>
      </x:c>
      <x:c r="X103" s="71" t="n">
        <x:v>0.38555568</x:v>
      </x:c>
      <x:c r="Y103" s="68" t="n">
        <x:v>0.1253</x:v>
      </x:c>
      <x:c r="Z103" s="68" t="n">
        <x:v>0.316</x:v>
      </x:c>
      <x:c r="AA103" s="68" t="n">
        <x:v>0.0958</x:v>
      </x:c>
      <x:c r="AB103" s="68" t="n">
        <x:v>-8.897750488334136</x:v>
      </x:c>
      <x:c r="AC103" s="68" t="n">
        <x:v>0.3975</x:v>
      </x:c>
      <x:c r="AD103" s="60" t="str">
        <x:v>行业地位 85、盈利能力 80</x:v>
      </x:c>
      <x:c r="AE103" s="60" t="str">
        <x:v>现金流 10、稳健性 38</x:v>
      </x:c>
    </x:row>
    <x:row r="104" ht="39.599998474121094" hidden="0" customHeight="1">
      <x:c r="A104" s="60" t="str">
        <x:v>历史深度低估</x:v>
      </x:c>
      <x:c r="B104" s="66" t="str">
        <x:v>000563.SZ</x:v>
      </x:c>
      <x:c r="C104" s="60" t="str">
        <x:v>陕国投Ａ</x:v>
      </x:c>
      <x:c r="D104" s="60" t="str">
        <x:v>非银金融</x:v>
      </x:c>
      <x:c r="E104" s="60" t="str">
        <x:v>多元金融</x:v>
      </x:c>
      <x:c r="F104" s="60" t="str">
        <x:v>信托</x:v>
      </x:c>
      <x:c r="G104" s="61" t="n">
        <x:v>2</x:v>
      </x:c>
      <x:c r="H104" s="67" t="n">
        <x:v>62.1607</x:v>
      </x:c>
      <x:c r="I104" s="68" t="n">
        <x:v>1</x:v>
      </x:c>
      <x:c r="J104" s="69" t="str">
        <x:v>历史极低位</x:v>
      </x:c>
      <x:c r="K104" s="69" t="str">
        <x:v>完整</x:v>
      </x:c>
      <x:c r="L104" s="69" t="str">
        <x:v>2026-08-19</x:v>
      </x:c>
      <x:c r="M104" s="69" t="str">
        <x:v>2026-08-24</x:v>
      </x:c>
      <x:c r="N104" s="70" t="n">
        <x:v>2.92</x:v>
      </x:c>
      <x:c r="O104" s="70" t="n">
        <x:v>11.1802</x:v>
      </x:c>
      <x:c r="P104" s="68" t="n">
        <x:v>0.0163</x:v>
      </x:c>
      <x:c r="Q104" s="70" t="n">
        <x:v>0.8032</x:v>
      </x:c>
      <x:c r="R104" s="68" t="n">
        <x:v>0.026099999999999998</x:v>
      </x:c>
      <x:c r="S104" s="68" t="n">
        <x:v>0.030822</x:v>
      </x:c>
      <x:c r="T104" s="68" t="n">
        <x:v>0.1085</x:v>
      </x:c>
      <x:c r="U104" s="68" t="n">
        <x:v>0.050300000000000004</x:v>
      </x:c>
      <x:c r="V104" s="71" t="n">
        <x:v>151.88</x:v>
      </x:c>
      <x:c r="W104" s="71" t="n">
        <x:v>7.9140512</x:v>
      </x:c>
      <x:c r="X104" s="71" t="n">
        <x:v>4.36515232</x:v>
      </x:c>
      <x:c r="Y104" s="68" t="n">
        <x:v>0.0779</x:v>
      </x:c>
      <x:c r="Z104" s="68"/>
      <x:c r="AA104" s="68" t="n">
        <x:v>0.4852</x:v>
      </x:c>
      <x:c r="AB104" s="68" t="n">
        <x:v>-4.371981997640806</x:v>
      </x:c>
      <x:c r="AC104" s="68" t="n">
        <x:v>0.3568</x:v>
      </x:c>
      <x:c r="AD104" s="60" t="str">
        <x:v>同行估值 100、成长稳定 85</x:v>
      </x:c>
      <x:c r="AE104" s="60" t="str">
        <x:v>现金流 12、行业地位 45</x:v>
      </x:c>
    </x:row>
    <x:row r="105" ht="39.599998474121094" hidden="0" customHeight="1">
      <x:c r="A105" s="60" t="str">
        <x:v>历史深度低估</x:v>
      </x:c>
      <x:c r="B105" s="66" t="str">
        <x:v>600004.SH</x:v>
      </x:c>
      <x:c r="C105" s="60" t="str">
        <x:v>白云机场</x:v>
      </x:c>
      <x:c r="D105" s="60" t="str">
        <x:v>交通运输</x:v>
      </x:c>
      <x:c r="E105" s="60" t="str">
        <x:v>航空机场</x:v>
      </x:c>
      <x:c r="F105" s="60" t="str">
        <x:v>机场</x:v>
      </x:c>
      <x:c r="G105" s="61" t="n">
        <x:v>2</x:v>
      </x:c>
      <x:c r="H105" s="67" t="n">
        <x:v>62</x:v>
      </x:c>
      <x:c r="I105" s="68" t="n">
        <x:v>1</x:v>
      </x:c>
      <x:c r="J105" s="69" t="str">
        <x:v>历史极低位</x:v>
      </x:c>
      <x:c r="K105" s="69" t="str">
        <x:v>完整</x:v>
      </x:c>
      <x:c r="L105" s="69" t="str">
        <x:v>2026-08-19</x:v>
      </x:c>
      <x:c r="M105" s="69" t="str">
        <x:v>2026-08-24</x:v>
      </x:c>
      <x:c r="N105" s="70" t="n">
        <x:v>7.44</x:v>
      </x:c>
      <x:c r="O105" s="70" t="n">
        <x:v>14.3076</x:v>
      </x:c>
      <x:c r="P105" s="68" t="n">
        <x:v>0.0125</x:v>
      </x:c>
      <x:c r="Q105" s="70" t="n">
        <x:v>0.9052</x:v>
      </x:c>
      <x:c r="R105" s="68" t="n">
        <x:v>0.0055000000000000005</x:v>
      </x:c>
      <x:c r="S105" s="68" t="n">
        <x:v>0.038306</x:v>
      </x:c>
      <x:c r="T105" s="68" t="n">
        <x:v>0.005600000000000001</x:v>
      </x:c>
      <x:c r="U105" s="68" t="n">
        <x:v>0.0079</x:v>
      </x:c>
      <x:c r="V105" s="71" t="n">
        <x:v>192</x:v>
      </x:c>
      <x:c r="W105" s="71" t="n">
        <x:v>22.58012928</x:v>
      </x:c>
      <x:c r="X105" s="71" t="n">
        <x:v>3.72538432</x:v>
      </x:c>
      <x:c r="Y105" s="68" t="n">
        <x:v>0.0745</x:v>
      </x:c>
      <x:c r="Z105" s="68" t="n">
        <x:v>0.2532</x:v>
      </x:c>
      <x:c r="AA105" s="68" t="n">
        <x:v>0.19030000000000002</x:v>
      </x:c>
      <x:c r="AB105" s="68" t="n">
        <x:v>0.8398784692366987</x:v>
      </x:c>
      <x:c r="AC105" s="68" t="n">
        <x:v>0.282</x:v>
      </x:c>
      <x:c r="AD105" s="60" t="str">
        <x:v>稳健性 90、同行估值 80</x:v>
      </x:c>
      <x:c r="AE105" s="60" t="str">
        <x:v>现金流 12、盈利能力 60</x:v>
      </x:c>
    </x:row>
    <x:row r="106" ht="39.599998474121094" hidden="0" customHeight="1">
      <x:c r="A106" s="60" t="str">
        <x:v>历史深度低估</x:v>
      </x:c>
      <x:c r="B106" s="66" t="str">
        <x:v>002961.SZ</x:v>
      </x:c>
      <x:c r="C106" s="60" t="str">
        <x:v>瑞达期货</x:v>
      </x:c>
      <x:c r="D106" s="60" t="str">
        <x:v>非银金融</x:v>
      </x:c>
      <x:c r="E106" s="60" t="str">
        <x:v>多元金融</x:v>
      </x:c>
      <x:c r="F106" s="60" t="str">
        <x:v>期货</x:v>
      </x:c>
      <x:c r="G106" s="61" t="n">
        <x:v>1</x:v>
      </x:c>
      <x:c r="H106" s="67" t="n">
        <x:v>61.9643</x:v>
      </x:c>
      <x:c r="I106" s="68" t="n">
        <x:v>1</x:v>
      </x:c>
      <x:c r="J106" s="69" t="str">
        <x:v>历史极低位</x:v>
      </x:c>
      <x:c r="K106" s="69" t="str">
        <x:v>完整</x:v>
      </x:c>
      <x:c r="L106" s="69" t="str">
        <x:v>2026-08-19</x:v>
      </x:c>
      <x:c r="M106" s="69" t="str">
        <x:v>2026-08-24</x:v>
      </x:c>
      <x:c r="N106" s="70" t="n">
        <x:v>17.93</x:v>
      </x:c>
      <x:c r="O106" s="70" t="n">
        <x:v>12.7728</x:v>
      </x:c>
      <x:c r="P106" s="68" t="n">
        <x:v>0.0053</x:v>
      </x:c>
      <x:c r="Q106" s="70" t="n">
        <x:v>2.0813</x:v>
      </x:c>
      <x:c r="R106" s="68" t="n">
        <x:v>0.1009</x:v>
      </x:c>
      <x:c r="S106" s="68" t="n">
        <x:v>0.022867000000000002</x:v>
      </x:c>
      <x:c r="T106" s="68" t="n">
        <x:v>0.1625</x:v>
      </x:c>
      <x:c r="U106" s="68" t="n">
        <x:v>0.08960000000000001</x:v>
      </x:c>
      <x:c r="V106" s="71" t="n">
        <x:v>88.28</x:v>
      </x:c>
      <x:c r="W106" s="71" t="n">
        <x:v>-3.9456784</x:v>
      </x:c>
      <x:c r="X106" s="71" t="n">
        <x:v>1.61147392</x:v>
      </x:c>
      <x:c r="Y106" s="68" t="n">
        <x:v>0.177</x:v>
      </x:c>
      <x:c r="Z106" s="68"/>
      <x:c r="AA106" s="68" t="n">
        <x:v>0.44789999999999996</x:v>
      </x:c>
      <x:c r="AB106" s="68" t="n">
        <x:v>5.707268436587543</x:v>
      </x:c>
      <x:c r="AC106" s="68" t="n">
        <x:v>0.8502</x:v>
      </x:c>
      <x:c r="AD106" s="60" t="str">
        <x:v>盈利能力 100、同行估值 80</x:v>
      </x:c>
      <x:c r="AE106" s="60" t="str">
        <x:v>现金流 42、行业地位 43</x:v>
      </x:c>
    </x:row>
    <x:row r="107" ht="39.599998474121094" hidden="0" customHeight="1">
      <x:c r="A107" s="60" t="str">
        <x:v>历史深度低估</x:v>
      </x:c>
      <x:c r="B107" s="66" t="str">
        <x:v>002511.SZ</x:v>
      </x:c>
      <x:c r="C107" s="60" t="str">
        <x:v>中顺洁柔</x:v>
      </x:c>
      <x:c r="D107" s="60" t="str">
        <x:v>轻工制造</x:v>
      </x:c>
      <x:c r="E107" s="60" t="str">
        <x:v>造纸</x:v>
      </x:c>
      <x:c r="F107" s="60" t="str">
        <x:v>生活用纸</x:v>
      </x:c>
      <x:c r="G107" s="61" t="n">
        <x:v>2</x:v>
      </x:c>
      <x:c r="H107" s="67" t="n">
        <x:v>61.875</x:v>
      </x:c>
      <x:c r="I107" s="68" t="n">
        <x:v>1</x:v>
      </x:c>
      <x:c r="J107" s="69" t="str">
        <x:v>历史极低位</x:v>
      </x:c>
      <x:c r="K107" s="69" t="str">
        <x:v>完整</x:v>
      </x:c>
      <x:c r="L107" s="69" t="str">
        <x:v>2026-08-19</x:v>
      </x:c>
      <x:c r="M107" s="69" t="str">
        <x:v>2026-08-24</x:v>
      </x:c>
      <x:c r="N107" s="70" t="n">
        <x:v>7.11</x:v>
      </x:c>
      <x:c r="O107" s="70" t="n">
        <x:v>25.6949</x:v>
      </x:c>
      <x:c r="P107" s="68" t="n">
        <x:v>0.0756</x:v>
      </x:c>
      <x:c r="Q107" s="70" t="n">
        <x:v>1.6386</x:v>
      </x:c>
      <x:c r="R107" s="68" t="n">
        <x:v>0.1491</x:v>
      </x:c>
      <x:c r="S107" s="68" t="n">
        <x:v>0.014627</x:v>
      </x:c>
      <x:c r="T107" s="68" t="n">
        <x:v>0.0408</x:v>
      </x:c>
      <x:c r="U107" s="68" t="n">
        <x:v>0.0885</x:v>
      </x:c>
      <x:c r="V107" s="71" t="n">
        <x:v>90.19</x:v>
      </x:c>
      <x:c r="W107" s="71" t="n">
        <x:v>23.01627392</x:v>
      </x:c>
      <x:c r="X107" s="71" t="n">
        <x:v>0.88423992</x:v>
      </x:c>
      <x:c r="Y107" s="68" t="n">
        <x:v>0.0581</x:v>
      </x:c>
      <x:c r="Z107" s="68" t="n">
        <x:v>0.34</x:v>
      </x:c>
      <x:c r="AA107" s="68" t="n">
        <x:v>0.036000000000000004</x:v>
      </x:c>
      <x:c r="AB107" s="68" t="n">
        <x:v>5.6498508685289845</x:v>
      </x:c>
      <x:c r="AC107" s="68" t="n">
        <x:v>0.38799999999999996</x:v>
      </x:c>
      <x:c r="AD107" s="60" t="str">
        <x:v>行业地位 100、现金流 88</x:v>
      </x:c>
      <x:c r="AE107" s="60" t="str">
        <x:v>成长稳定 35、稳健性 38</x:v>
      </x:c>
    </x:row>
    <x:row r="108" ht="39.599998474121094" hidden="0" customHeight="1">
      <x:c r="A108" s="60" t="str">
        <x:v>历史深度低估</x:v>
      </x:c>
      <x:c r="B108" s="66" t="str">
        <x:v>601128.SH</x:v>
      </x:c>
      <x:c r="C108" s="60" t="str">
        <x:v>常熟银行</x:v>
      </x:c>
      <x:c r="D108" s="60" t="str">
        <x:v>银行</x:v>
      </x:c>
      <x:c r="E108" s="60" t="str">
        <x:v>地方性银行</x:v>
      </x:c>
      <x:c r="F108" s="60" t="str">
        <x:v>农商行</x:v>
      </x:c>
      <x:c r="G108" s="61" t="n">
        <x:v>2</x:v>
      </x:c>
      <x:c r="H108" s="67" t="n">
        <x:v>60.8056</x:v>
      </x:c>
      <x:c r="I108" s="68" t="n">
        <x:v>1</x:v>
      </x:c>
      <x:c r="J108" s="69" t="str">
        <x:v>历史极低位</x:v>
      </x:c>
      <x:c r="K108" s="69" t="str">
        <x:v>完整</x:v>
      </x:c>
      <x:c r="L108" s="69" t="str">
        <x:v>2026-08-19</x:v>
      </x:c>
      <x:c r="M108" s="69" t="str">
        <x:v>2026-08-24</x:v>
      </x:c>
      <x:c r="N108" s="70" t="n">
        <x:v>6.19</x:v>
      </x:c>
      <x:c r="O108" s="70" t="n">
        <x:v>5.2036</x:v>
      </x:c>
      <x:c r="P108" s="68" t="n">
        <x:v>0.0232</x:v>
      </x:c>
      <x:c r="Q108" s="70" t="n">
        <x:v>0.6894</x:v>
      </x:c>
      <x:c r="R108" s="68" t="n">
        <x:v>0.02</x:v>
      </x:c>
      <x:c r="S108" s="68" t="n">
        <x:v>0.043619000000000005</x:v>
      </x:c>
      <x:c r="T108" s="68" t="n">
        <x:v>0.1656</x:v>
      </x:c>
      <x:c r="U108" s="68" t="n">
        <x:v>0.0696</x:v>
      </x:c>
      <x:c r="V108" s="71" t="n">
        <x:v>230.2</x:v>
      </x:c>
      <x:c r="W108" s="71" t="n">
        <x:v>25.67110912</x:v>
      </x:c>
      <x:c r="X108" s="71" t="n">
        <x:v>8.61907968</x:v>
      </x:c>
      <x:c r="Y108" s="68" t="n">
        <x:v>0.1405</x:v>
      </x:c>
      <x:c r="Z108" s="68"/>
      <x:c r="AA108" s="68" t="n">
        <x:v>0.38420000000000004</x:v>
      </x:c>
      <x:c r="AB108" s="68" t="n">
        <x:v>-1.4402535561662193</x:v>
      </x:c>
      <x:c r="AC108" s="68" t="n">
        <x:v>0.917</x:v>
      </x:c>
      <x:c r="AD108" s="60" t="str">
        <x:v>成长稳定 88、行业地位 78</x:v>
      </x:c>
      <x:c r="AE108" s="60" t="str">
        <x:v>同行估值 20、稳健性 41</x:v>
      </x:c>
    </x:row>
    <x:row r="109" ht="39.599998474121094" hidden="0" customHeight="1">
      <x:c r="A109" s="60" t="str">
        <x:v>历史深度低估</x:v>
      </x:c>
      <x:c r="B109" s="66" t="str">
        <x:v>603708.SH</x:v>
      </x:c>
      <x:c r="C109" s="60" t="str">
        <x:v>家家悦</x:v>
      </x:c>
      <x:c r="D109" s="60" t="str">
        <x:v>商贸</x:v>
      </x:c>
      <x:c r="E109" s="60" t="str">
        <x:v>一般零售</x:v>
      </x:c>
      <x:c r="F109" s="60" t="str">
        <x:v>超市及便利店</x:v>
      </x:c>
      <x:c r="G109" s="61" t="n">
        <x:v>2</x:v>
      </x:c>
      <x:c r="H109" s="67" t="n">
        <x:v>59.4583</x:v>
      </x:c>
      <x:c r="I109" s="68" t="n">
        <x:v>1</x:v>
      </x:c>
      <x:c r="J109" s="69" t="str">
        <x:v>历史极低位</x:v>
      </x:c>
      <x:c r="K109" s="69" t="str">
        <x:v>完整</x:v>
      </x:c>
      <x:c r="L109" s="69" t="str">
        <x:v>2026-08-19</x:v>
      </x:c>
      <x:c r="M109" s="69" t="str">
        <x:v>2026-08-24</x:v>
      </x:c>
      <x:c r="N109" s="70" t="n">
        <x:v>9.34</x:v>
      </x:c>
      <x:c r="O109" s="70" t="n">
        <x:v>28.3145</x:v>
      </x:c>
      <x:c r="P109" s="68" t="n">
        <x:v>0.0951</x:v>
      </x:c>
      <x:c r="Q109" s="70" t="n">
        <x:v>2.3868</x:v>
      </x:c>
      <x:c r="R109" s="68" t="n">
        <x:v>0.10369999999999999</x:v>
      </x:c>
      <x:c r="S109" s="68" t="n">
        <x:v>0.033191</x:v>
      </x:c>
      <x:c r="T109" s="68" t="n">
        <x:v>0.0834</x:v>
      </x:c>
      <x:c r="U109" s="68" t="n">
        <x:v>0.0941</x:v>
      </x:c>
      <x:c r="V109" s="71" t="n">
        <x:v>57.77</x:v>
      </x:c>
      <x:c r="W109" s="71" t="n">
        <x:v>43.68732672</x:v>
      </x:c>
      <x:c r="X109" s="71" t="n">
        <x:v>-0.049894505</x:v>
      </x:c>
      <x:c r="Y109" s="68" t="n">
        <x:v>0.0836</x:v>
      </x:c>
      <x:c r="Z109" s="68" t="n">
        <x:v>0.2384</x:v>
      </x:c>
      <x:c r="AA109" s="68" t="n">
        <x:v>0.0105</x:v>
      </x:c>
      <x:c r="AB109" s="68" t="n">
        <x:v>-1.7728882168487292</x:v>
      </x:c>
      <x:c r="AC109" s="68" t="n">
        <x:v>0.8218000000000001</x:v>
      </x:c>
      <x:c r="AD109" s="60" t="str">
        <x:v>成长稳定 83、同行估值 75</x:v>
      </x:c>
      <x:c r="AE109" s="60" t="str">
        <x:v>现金流 29、稳健性 53</x:v>
      </x:c>
    </x:row>
    <x:row r="110" ht="39.599998474121094" hidden="0" customHeight="1">
      <x:c r="A110" s="60" t="str">
        <x:v>历史深度低估</x:v>
      </x:c>
      <x:c r="B110" s="66" t="str">
        <x:v>600861.SH</x:v>
      </x:c>
      <x:c r="C110" s="60" t="str">
        <x:v>北京人力</x:v>
      </x:c>
      <x:c r="D110" s="60" t="str">
        <x:v>社会服务</x:v>
      </x:c>
      <x:c r="E110" s="60" t="str">
        <x:v>专业服务</x:v>
      </x:c>
      <x:c r="F110" s="60" t="str">
        <x:v>人力资源服务</x:v>
      </x:c>
      <x:c r="G110" s="61" t="n">
        <x:v>1</x:v>
      </x:c>
      <x:c r="H110" s="67" t="n">
        <x:v>59.25</x:v>
      </x:c>
      <x:c r="I110" s="68" t="n">
        <x:v>1</x:v>
      </x:c>
      <x:c r="J110" s="69" t="str">
        <x:v>历史极低位</x:v>
      </x:c>
      <x:c r="K110" s="69" t="str">
        <x:v>完整</x:v>
      </x:c>
      <x:c r="L110" s="69" t="str">
        <x:v>2026-08-19</x:v>
      </x:c>
      <x:c r="M110" s="69" t="str">
        <x:v>2026-08-24</x:v>
      </x:c>
      <x:c r="N110" s="70" t="n">
        <x:v>12.83</x:v>
      </x:c>
      <x:c r="O110" s="70" t="n">
        <x:v>8.6294</x:v>
      </x:c>
      <x:c r="P110" s="68" t="n">
        <x:v>0.0771</x:v>
      </x:c>
      <x:c r="Q110" s="70" t="n">
        <x:v>0.9594</x:v>
      </x:c>
      <x:c r="R110" s="68" t="n">
        <x:v>0.0139</x:v>
      </x:c>
      <x:c r="S110" s="68" t="n">
        <x:v>0.08051399999999999</x:v>
      </x:c>
      <x:c r="T110" s="68" t="n">
        <x:v>0.0382</x:v>
      </x:c>
      <x:c r="U110" s="68" t="n">
        <x:v>0.0431</x:v>
      </x:c>
      <x:c r="V110" s="71" t="n">
        <x:v>73.25</x:v>
      </x:c>
      <x:c r="W110" s="71" t="n">
        <x:v>113.78666496</x:v>
      </x:c>
      <x:c r="X110" s="71" t="n">
        <x:v>1.62803936</x:v>
      </x:c>
      <x:c r="Y110" s="68" t="n">
        <x:v>0.1699</x:v>
      </x:c>
      <x:c r="Z110" s="68" t="n">
        <x:v>0.055099999999999996</x:v>
      </x:c>
      <x:c r="AA110" s="68" t="n">
        <x:v>0.0321</x:v>
      </x:c>
      <x:c r="AB110" s="68" t="n">
        <x:v>1.932879067493798</x:v>
      </x:c>
      <x:c r="AC110" s="68" t="n">
        <x:v>0.5014</x:v>
      </x:c>
      <x:c r="AD110" s="60" t="str">
        <x:v>同行估值 100、行业地位 80</x:v>
      </x:c>
      <x:c r="AE110" s="60" t="str">
        <x:v>现金流 0、成长稳定 45</x:v>
      </x:c>
    </x:row>
    <x:row r="111" ht="39.599998474121094" hidden="0" customHeight="1">
      <x:c r="A111" s="60" t="str">
        <x:v>历史深度低估</x:v>
      </x:c>
      <x:c r="B111" s="66" t="str">
        <x:v>002616.SZ</x:v>
      </x:c>
      <x:c r="C111" s="60" t="str">
        <x:v>长青集团</x:v>
      </x:c>
      <x:c r="D111" s="60" t="str">
        <x:v>公用事业</x:v>
      </x:c>
      <x:c r="E111" s="60" t="str">
        <x:v>电力</x:v>
      </x:c>
      <x:c r="F111" s="60" t="str">
        <x:v>电能综合服务</x:v>
      </x:c>
      <x:c r="G111" s="61" t="n">
        <x:v>2</x:v>
      </x:c>
      <x:c r="H111" s="67" t="n">
        <x:v>58.7583</x:v>
      </x:c>
      <x:c r="I111" s="68" t="n">
        <x:v>1</x:v>
      </x:c>
      <x:c r="J111" s="69" t="str">
        <x:v>历史极低位</x:v>
      </x:c>
      <x:c r="K111" s="69" t="str">
        <x:v>完整</x:v>
      </x:c>
      <x:c r="L111" s="69" t="str">
        <x:v>2026-08-19</x:v>
      </x:c>
      <x:c r="M111" s="69" t="str">
        <x:v>2026-08-24</x:v>
      </x:c>
      <x:c r="N111" s="70" t="n">
        <x:v>4.74</x:v>
      </x:c>
      <x:c r="O111" s="70" t="n">
        <x:v>13.6396</x:v>
      </x:c>
      <x:c r="P111" s="68" t="n">
        <x:v>0.0408</x:v>
      </x:c>
      <x:c r="Q111" s="70" t="n">
        <x:v>1.0944</x:v>
      </x:c>
      <x:c r="R111" s="68" t="n">
        <x:v>0.0408</x:v>
      </x:c>
      <x:c r="S111" s="68" t="n">
        <x:v>0.084388</x:v>
      </x:c>
      <x:c r="T111" s="68" t="n">
        <x:v>0.046900000000000004</x:v>
      </x:c>
      <x:c r="U111" s="68" t="n">
        <x:v>0.042800000000000005</x:v>
      </x:c>
      <x:c r="V111" s="71" t="n">
        <x:v>40.73</x:v>
      </x:c>
      <x:c r="W111" s="71" t="n">
        <x:v>9.43021952</x:v>
      </x:c>
      <x:c r="X111" s="71" t="n">
        <x:v>0.7852868</x:v>
      </x:c>
      <x:c r="Y111" s="68" t="n">
        <x:v>0.0824</x:v>
      </x:c>
      <x:c r="Z111" s="68" t="n">
        <x:v>0.2206</x:v>
      </x:c>
      <x:c r="AA111" s="68" t="n">
        <x:v>0.0771</x:v>
      </x:c>
      <x:c r="AB111" s="68" t="n">
        <x:v>3.6005486912552205</x:v>
      </x:c>
      <x:c r="AC111" s="68" t="n">
        <x:v>0.6235</x:v>
      </x:c>
      <x:c r="AD111" s="60" t="str">
        <x:v>同行估值 86、盈利能力 69</x:v>
      </x:c>
      <x:c r="AE111" s="60" t="str">
        <x:v>行业地位 38、成长稳定 55</x:v>
      </x:c>
    </x:row>
    <x:row r="112" ht="39.599998474121094" hidden="0" customHeight="1">
      <x:c r="A112" s="60" t="str">
        <x:v>历史深度低估</x:v>
      </x:c>
      <x:c r="B112" s="66" t="str">
        <x:v>002140.SZ</x:v>
      </x:c>
      <x:c r="C112" s="60" t="str">
        <x:v>东华科技</x:v>
      </x:c>
      <x:c r="D112" s="60" t="str">
        <x:v>建筑</x:v>
      </x:c>
      <x:c r="E112" s="60" t="str">
        <x:v>专业工程</x:v>
      </x:c>
      <x:c r="F112" s="60" t="str">
        <x:v>化学工程</x:v>
      </x:c>
      <x:c r="G112" s="61" t="n">
        <x:v>2</x:v>
      </x:c>
      <x:c r="H112" s="67" t="n">
        <x:v>58.625</x:v>
      </x:c>
      <x:c r="I112" s="68" t="n">
        <x:v>1</x:v>
      </x:c>
      <x:c r="J112" s="69" t="str">
        <x:v>历史极低位</x:v>
      </x:c>
      <x:c r="K112" s="69" t="str">
        <x:v>完整</x:v>
      </x:c>
      <x:c r="L112" s="69" t="str">
        <x:v>2026-08-19</x:v>
      </x:c>
      <x:c r="M112" s="69" t="str">
        <x:v>2026-08-24</x:v>
      </x:c>
      <x:c r="N112" s="70" t="n">
        <x:v>8.9</x:v>
      </x:c>
      <x:c r="O112" s="70" t="n">
        <x:v>11.3633</x:v>
      </x:c>
      <x:c r="P112" s="68" t="n">
        <x:v>0.0118</x:v>
      </x:c>
      <x:c r="Q112" s="70" t="n">
        <x:v>1.2916</x:v>
      </x:c>
      <x:c r="R112" s="68" t="n">
        <x:v>0.0633</x:v>
      </x:c>
      <x:c r="S112" s="68" t="n">
        <x:v>0.022472</x:v>
      </x:c>
      <x:c r="T112" s="68" t="n">
        <x:v>0.0179</x:v>
      </x:c>
      <x:c r="U112" s="68" t="n">
        <x:v>0.031</x:v>
      </x:c>
      <x:c r="V112" s="71" t="n">
        <x:v>63.3</x:v>
      </x:c>
      <x:c r="W112" s="71" t="n">
        <x:v>32.2935168</x:v>
      </x:c>
      <x:c r="X112" s="71" t="n">
        <x:v>1.67822128</x:v>
      </x:c>
      <x:c r="Y112" s="68" t="n">
        <x:v>0.11630000000000001</x:v>
      </x:c>
      <x:c r="Z112" s="68" t="n">
        <x:v>0.1124</x:v>
      </x:c>
      <x:c r="AA112" s="68" t="n">
        <x:v>0.0519</x:v>
      </x:c>
      <x:c r="AB112" s="68" t="n">
        <x:v>-0.0273729338004819</x:v>
      </x:c>
      <x:c r="AC112" s="68" t="n">
        <x:v>0.6648000000000001</x:v>
      </x:c>
      <x:c r="AD112" s="60" t="str">
        <x:v>成长稳定 78、同行估值 75</x:v>
      </x:c>
      <x:c r="AE112" s="60" t="str">
        <x:v>现金流 25、稳健性 48</x:v>
      </x:c>
    </x:row>
    <x:row r="113" ht="39.599998474121094" hidden="0" customHeight="1">
      <x:c r="A113" s="60" t="str">
        <x:v>历史深度低估</x:v>
      </x:c>
      <x:c r="B113" s="66" t="str">
        <x:v>001914.SZ</x:v>
      </x:c>
      <x:c r="C113" s="60" t="str">
        <x:v>招商积余</x:v>
      </x:c>
      <x:c r="D113" s="60" t="str">
        <x:v>房地产</x:v>
      </x:c>
      <x:c r="E113" s="60" t="str">
        <x:v>房产服务</x:v>
      </x:c>
      <x:c r="F113" s="60" t="str">
        <x:v>物业管理</x:v>
      </x:c>
      <x:c r="G113" s="61" t="n">
        <x:v>2</x:v>
      </x:c>
      <x:c r="H113" s="67" t="n">
        <x:v>57.8143</x:v>
      </x:c>
      <x:c r="I113" s="68" t="n">
        <x:v>1</x:v>
      </x:c>
      <x:c r="J113" s="69" t="str">
        <x:v>历史极低位</x:v>
      </x:c>
      <x:c r="K113" s="69" t="str">
        <x:v>完整</x:v>
      </x:c>
      <x:c r="L113" s="69" t="str">
        <x:v>2026-08-19</x:v>
      </x:c>
      <x:c r="M113" s="69" t="str">
        <x:v>2026-08-24</x:v>
      </x:c>
      <x:c r="N113" s="70" t="n">
        <x:v>8.79</x:v>
      </x:c>
      <x:c r="O113" s="70" t="n">
        <x:v>13.8572</x:v>
      </x:c>
      <x:c r="P113" s="68" t="n">
        <x:v>0.1593</x:v>
      </x:c>
      <x:c r="Q113" s="70" t="n">
        <x:v>0.8453</x:v>
      </x:c>
      <x:c r="R113" s="68" t="n">
        <x:v>0.0212</x:v>
      </x:c>
      <x:c r="S113" s="68" t="n">
        <x:v>0.029579</x:v>
      </x:c>
      <x:c r="T113" s="68" t="n">
        <x:v>0.0208</x:v>
      </x:c>
      <x:c r="U113" s="68" t="n">
        <x:v>0.06709999999999999</x:v>
      </x:c>
      <x:c r="V113" s="71" t="n">
        <x:v>91.36</x:v>
      </x:c>
      <x:c r="W113" s="71" t="n">
        <x:v>53.31549184</x:v>
      </x:c>
      <x:c r="X113" s="71" t="n">
        <x:v>-0.31653352</x:v>
      </x:c>
      <x:c r="Y113" s="68" t="n">
        <x:v>0.061900000000000004</x:v>
      </x:c>
      <x:c r="Z113" s="68" t="n">
        <x:v>0.1109</x:v>
      </x:c>
      <x:c r="AA113" s="68" t="n">
        <x:v>0.0341</x:v>
      </x:c>
      <x:c r="AB113" s="68" t="n">
        <x:v>-89.95552167745142</x:v>
      </x:c>
      <x:c r="AC113" s="68" t="n">
        <x:v>0.45899999999999996</x:v>
      </x:c>
      <x:c r="AD113" s="60" t="str">
        <x:v>同行估值 100、行业地位 76</x:v>
      </x:c>
      <x:c r="AE113" s="60" t="str">
        <x:v>盈利能力 14、成长稳定 51</x:v>
      </x:c>
    </x:row>
    <x:row r="114" ht="39.599998474121094" hidden="0" customHeight="1">
      <x:c r="A114" s="60" t="str">
        <x:v>历史深度低估</x:v>
      </x:c>
      <x:c r="B114" s="66" t="str">
        <x:v>002352.SZ</x:v>
      </x:c>
      <x:c r="C114" s="60" t="str">
        <x:v>顺丰控股</x:v>
      </x:c>
      <x:c r="D114" s="60" t="str">
        <x:v>交通运输</x:v>
      </x:c>
      <x:c r="E114" s="60" t="str">
        <x:v>物流</x:v>
      </x:c>
      <x:c r="F114" s="60" t="str">
        <x:v>快递</x:v>
      </x:c>
      <x:c r="G114" s="61" t="n">
        <x:v>2</x:v>
      </x:c>
      <x:c r="H114" s="67" t="n">
        <x:v>57</x:v>
      </x:c>
      <x:c r="I114" s="68" t="n">
        <x:v>1</x:v>
      </x:c>
      <x:c r="J114" s="69" t="str">
        <x:v>历史极低位</x:v>
      </x:c>
      <x:c r="K114" s="69" t="str">
        <x:v>完整</x:v>
      </x:c>
      <x:c r="L114" s="69" t="str">
        <x:v>2026-08-19</x:v>
      </x:c>
      <x:c r="M114" s="69" t="str">
        <x:v>2026-08-24</x:v>
      </x:c>
      <x:c r="N114" s="70" t="n">
        <x:v>32.78</x:v>
      </x:c>
      <x:c r="O114" s="70" t="n">
        <x:v>15.1285</x:v>
      </x:c>
      <x:c r="P114" s="68" t="n">
        <x:v>0.0176</x:v>
      </x:c>
      <x:c r="Q114" s="70" t="n">
        <x:v>1.7189</x:v>
      </x:c>
      <x:c r="R114" s="68" t="n">
        <x:v>0.0176</x:v>
      </x:c>
      <x:c r="S114" s="68" t="n">
        <x:v>0.027151</x:v>
      </x:c>
      <x:c r="T114" s="68" t="n">
        <x:v>0.243</x:v>
      </x:c>
      <x:c r="U114" s="68" t="n">
        <x:v>0.09269999999999999</x:v>
      </x:c>
      <x:c r="V114" s="71" t="n">
        <x:v>1734.39</x:v>
      </x:c>
      <x:c r="W114" s="71" t="n">
        <x:v>829.6566784</x:v>
      </x:c>
      <x:c r="X114" s="71" t="n">
        <x:v>28.0896</x:v>
      </x:c>
      <x:c r="Y114" s="68" t="n">
        <x:v>0.1151</x:v>
      </x:c>
      <x:c r="Z114" s="68" t="n">
        <x:v>0.1332</x:v>
      </x:c>
      <x:c r="AA114" s="68" t="n">
        <x:v>0.0379</x:v>
      </x:c>
      <x:c r="AB114" s="68" t="n">
        <x:v>2.8978914559125086</x:v>
      </x:c>
      <x:c r="AC114" s="68" t="n">
        <x:v>0.4903</x:v>
      </x:c>
      <x:c r="AD114" s="60" t="str">
        <x:v>行业地位 100、盈利能力 63</x:v>
      </x:c>
      <x:c r="AE114" s="60" t="str">
        <x:v>现金流 20、同行估值 30</x:v>
      </x:c>
    </x:row>
    <x:row r="115" ht="39.599998474121094" hidden="0" customHeight="1">
      <x:c r="A115" s="60" t="str">
        <x:v>历史深度低估</x:v>
      </x:c>
      <x:c r="B115" s="66" t="str">
        <x:v>601686.SH</x:v>
      </x:c>
      <x:c r="C115" s="60" t="str">
        <x:v>友发集团</x:v>
      </x:c>
      <x:c r="D115" s="60" t="str">
        <x:v>钢铁</x:v>
      </x:c>
      <x:c r="E115" s="60" t="str">
        <x:v>普钢</x:v>
      </x:c>
      <x:c r="F115" s="60" t="str">
        <x:v>其他钢材</x:v>
      </x:c>
      <x:c r="G115" s="61" t="n">
        <x:v>2</x:v>
      </x:c>
      <x:c r="H115" s="67" t="n">
        <x:v>51.25</x:v>
      </x:c>
      <x:c r="I115" s="68" t="n">
        <x:v>1</x:v>
      </x:c>
      <x:c r="J115" s="69" t="str">
        <x:v>历史极低位</x:v>
      </x:c>
      <x:c r="K115" s="69" t="str">
        <x:v>完整</x:v>
      </x:c>
      <x:c r="L115" s="69" t="str">
        <x:v>2026-08-19</x:v>
      </x:c>
      <x:c r="M115" s="69" t="str">
        <x:v>2026-08-24</x:v>
      </x:c>
      <x:c r="N115" s="70" t="n">
        <x:v>5.1</x:v>
      </x:c>
      <x:c r="O115" s="70" t="n">
        <x:v>11.1559</x:v>
      </x:c>
      <x:c r="P115" s="68" t="n">
        <x:v>0.08960000000000001</x:v>
      </x:c>
      <x:c r="Q115" s="70" t="n">
        <x:v>1.0989</x:v>
      </x:c>
      <x:c r="R115" s="68" t="n">
        <x:v>0.022000000000000002</x:v>
      </x:c>
      <x:c r="S115" s="68" t="n">
        <x:v>0.058823999999999994</x:v>
      </x:c>
      <x:c r="T115" s="68" t="n">
        <x:v>0.1116</x:v>
      </x:c>
      <x:c r="U115" s="68" t="n">
        <x:v>0.07440000000000001</x:v>
      </x:c>
      <x:c r="V115" s="71" t="n">
        <x:v>76.93</x:v>
      </x:c>
      <x:c r="W115" s="71" t="n">
        <x:v>126.78962176</x:v>
      </x:c>
      <x:c r="X115" s="71" t="n">
        <x:v>1.7826128</x:v>
      </x:c>
      <x:c r="Y115" s="68" t="n">
        <x:v>0.0993</x:v>
      </x:c>
      <x:c r="Z115" s="68" t="n">
        <x:v>0.0321</x:v>
      </x:c>
      <x:c r="AA115" s="68" t="n">
        <x:v>0.0146</x:v>
      </x:c>
      <x:c r="AB115" s="68" t="n">
        <x:v>3.9482148002078747</x:v>
      </x:c>
      <x:c r="AC115" s="68" t="n">
        <x:v>0.6942</x:v>
      </x:c>
      <x:c r="AD115" s="60" t="str">
        <x:v>同行估值 70、行业地位 65</x:v>
      </x:c>
      <x:c r="AE115" s="60" t="str">
        <x:v>稳健性 15、现金流 35</x:v>
      </x:c>
    </x:row>
    <x:row r="116" ht="39.599998474121094" hidden="0" customHeight="1">
      <x:c r="A116" s="60" t="str">
        <x:v>历史深度低估</x:v>
      </x:c>
      <x:c r="B116" s="66" t="str">
        <x:v>603737.SH</x:v>
      </x:c>
      <x:c r="C116" s="60" t="str">
        <x:v>三棵树</x:v>
      </x:c>
      <x:c r="D116" s="60" t="str">
        <x:v>建材</x:v>
      </x:c>
      <x:c r="E116" s="60" t="str">
        <x:v>装饰建材</x:v>
      </x:c>
      <x:c r="F116" s="60" t="str">
        <x:v>涂料</x:v>
      </x:c>
      <x:c r="G116" s="61" t="n">
        <x:v>1</x:v>
      </x:c>
      <x:c r="H116" s="67" t="n">
        <x:v>50</x:v>
      </x:c>
      <x:c r="I116" s="68" t="n">
        <x:v>1</x:v>
      </x:c>
      <x:c r="J116" s="69" t="str">
        <x:v>历史极低位</x:v>
      </x:c>
      <x:c r="K116" s="69" t="str">
        <x:v>完整</x:v>
      </x:c>
      <x:c r="L116" s="69" t="str">
        <x:v>2026-08-19</x:v>
      </x:c>
      <x:c r="M116" s="69" t="str">
        <x:v>2026-08-24</x:v>
      </x:c>
      <x:c r="N116" s="70" t="n">
        <x:v>25.66</x:v>
      </x:c>
      <x:c r="O116" s="70" t="n">
        <x:v>29.2604</x:v>
      </x:c>
      <x:c r="P116" s="68" t="n">
        <x:v>0.053899999999999997</x:v>
      </x:c>
      <x:c r="Q116" s="70" t="n">
        <x:v>7.5724</x:v>
      </x:c>
      <x:c r="R116" s="68" t="n">
        <x:v>0.1332</x:v>
      </x:c>
      <x:c r="S116" s="68" t="n">
        <x:v>0.022136</x:v>
      </x:c>
      <x:c r="T116" s="68" t="n">
        <x:v>0.0579</x:v>
      </x:c>
      <x:c r="U116" s="68" t="n">
        <x:v>0.0817</x:v>
      </x:c>
      <x:c r="V116" s="71" t="n">
        <x:v>221.97</x:v>
      </x:c>
      <x:c r="W116" s="71" t="n">
        <x:v>31.35932416</x:v>
      </x:c>
      <x:c r="X116" s="71" t="n">
        <x:v>0.31301234</x:v>
      </x:c>
      <x:c r="Y116" s="68" t="n">
        <x:v>0.2641</x:v>
      </x:c>
      <x:c r="Z116" s="68" t="n">
        <x:v>0.3379</x:v>
      </x:c>
      <x:c r="AA116" s="68" t="n">
        <x:v>0.0605</x:v>
      </x:c>
      <x:c r="AB116" s="68" t="n">
        <x:v>24.923134468117137</x:v>
      </x:c>
      <x:c r="AC116" s="68" t="n">
        <x:v>0.7583</x:v>
      </x:c>
      <x:c r="AD116" s="60" t="str">
        <x:v>同行估值 50、盈利能力 50</x:v>
      </x:c>
      <x:c r="AE116" s="60" t="str">
        <x:v>现金流 50、稳健性 50</x:v>
      </x:c>
    </x:row>
    <x:row r="117" ht="39.599998474121094" hidden="0" customHeight="1">
      <x:c r="A117" s="60" t="str">
        <x:v>历史深度低估</x:v>
      </x:c>
      <x:c r="B117" s="66" t="str">
        <x:v>300226.SZ</x:v>
      </x:c>
      <x:c r="C117" s="60" t="str">
        <x:v>上海钢联</x:v>
      </x:c>
      <x:c r="D117" s="60" t="str">
        <x:v>计算机</x:v>
      </x:c>
      <x:c r="E117" s="60" t="str">
        <x:v>产业互联网</x:v>
      </x:c>
      <x:c r="F117" s="60" t="str">
        <x:v>产联网平台服务</x:v>
      </x:c>
      <x:c r="G117" s="61" t="n">
        <x:v>2</x:v>
      </x:c>
      <x:c r="H117" s="67" t="n">
        <x:v>45</x:v>
      </x:c>
      <x:c r="I117" s="68" t="n">
        <x:v>1</x:v>
      </x:c>
      <x:c r="J117" s="69" t="str">
        <x:v>历史极低位</x:v>
      </x:c>
      <x:c r="K117" s="69" t="str">
        <x:v>完整</x:v>
      </x:c>
      <x:c r="L117" s="69" t="str">
        <x:v>2026-08-19</x:v>
      </x:c>
      <x:c r="M117" s="69" t="str">
        <x:v>2026-08-24</x:v>
      </x:c>
      <x:c r="N117" s="70" t="n">
        <x:v>15.57</x:v>
      </x:c>
      <x:c r="O117" s="70" t="n">
        <x:v>27.8404</x:v>
      </x:c>
      <x:c r="P117" s="68" t="n">
        <x:v>0.1042</x:v>
      </x:c>
      <x:c r="Q117" s="70" t="n">
        <x:v>2.6564</x:v>
      </x:c>
      <x:c r="R117" s="68" t="n">
        <x:v>0.0519</x:v>
      </x:c>
      <x:c r="S117" s="68" t="n">
        <x:v>0.006423</x:v>
      </x:c>
      <x:c r="T117" s="68" t="n">
        <x:v>0.0246</x:v>
      </x:c>
      <x:c r="U117" s="68" t="n">
        <x:v>0.0602</x:v>
      </x:c>
      <x:c r="V117" s="71" t="n">
        <x:v>61.46</x:v>
      </x:c>
      <x:c r="W117" s="71" t="n">
        <x:v>166.78647808</x:v>
      </x:c>
      <x:c r="X117" s="71" t="n">
        <x:v>0.45209624</x:v>
      </x:c>
      <x:c r="Y117" s="68" t="n">
        <x:v>0.1016</x:v>
      </x:c>
      <x:c r="Z117" s="68" t="n">
        <x:v>0.0134</x:v>
      </x:c>
      <x:c r="AA117" s="68" t="n">
        <x:v>0.0052</x:v>
      </x:c>
      <x:c r="AB117" s="68" t="n">
        <x:v>-1.3661179752346535</x:v>
      </x:c>
      <x:c r="AC117" s="68" t="n">
        <x:v>0.867</x:v>
      </x:c>
      <x:c r="AD117" s="60" t="str">
        <x:v>行业地位 65、同行估值 45</x:v>
      </x:c>
      <x:c r="AE117" s="60" t="str">
        <x:v>现金流 25、盈利能力 35</x:v>
      </x:c>
    </x:row>
    <x:row r="118" ht="39.599998474121094" hidden="0" customHeight="1">
      <x:c r="A118" s="60" t="str">
        <x:v>历史深度低估</x:v>
      </x:c>
      <x:c r="B118" s="66" t="str">
        <x:v>920982.BJ</x:v>
      </x:c>
      <x:c r="C118" s="60" t="str">
        <x:v>锦波生物</x:v>
      </x:c>
      <x:c r="D118" s="60" t="str">
        <x:v>医药医疗</x:v>
      </x:c>
      <x:c r="E118" s="60" t="str">
        <x:v>医疗美容</x:v>
      </x:c>
      <x:c r="F118" s="60" t="str">
        <x:v>医美耗材</x:v>
      </x:c>
      <x:c r="G118" s="61" t="n">
        <x:v>2</x:v>
      </x:c>
      <x:c r="H118" s="67" t="n">
        <x:v>35.8824</x:v>
      </x:c>
      <x:c r="I118" s="68" t="n">
        <x:v>0.85</x:v>
      </x:c>
      <x:c r="J118" s="69" t="str">
        <x:v>历史极低位</x:v>
      </x:c>
      <x:c r="K118" s="69" t="str">
        <x:v>部分可用</x:v>
      </x:c>
      <x:c r="L118" s="69" t="str">
        <x:v>2026-08-19</x:v>
      </x:c>
      <x:c r="M118" s="69" t="str">
        <x:v>2026-08-24</x:v>
      </x:c>
      <x:c r="N118" s="70" t="n">
        <x:v>120.2</x:v>
      </x:c>
      <x:c r="O118" s="70" t="n">
        <x:v>22.1629</x:v>
      </x:c>
      <x:c r="P118" s="68" t="n">
        <x:v>0.0053</x:v>
      </x:c>
      <x:c r="Q118" s="70" t="n">
        <x:v>6.7941</x:v>
      </x:c>
      <x:c r="R118" s="68" t="n">
        <x:v>0.0053</x:v>
      </x:c>
      <x:c r="S118" s="68" t="n">
        <x:v>0.012479</x:v>
      </x:c>
      <x:c r="T118" s="68" t="n">
        <x:v>0.2079</x:v>
      </x:c>
      <x:c r="U118" s="68" t="n">
        <x:v>0.0728</x:v>
      </x:c>
      <x:c r="V118" s="71" t="n">
        <x:v>135.98</x:v>
      </x:c>
      <x:c r="W118" s="71" t="n">
        <x:v>2.99640256</x:v>
      </x:c>
      <x:c r="X118" s="71" t="n">
        <x:v>0.83855624</x:v>
      </x:c>
      <x:c r="Y118" s="68" t="n">
        <x:v>0.37920000000000004</x:v>
      </x:c>
      <x:c r="Z118" s="68" t="n">
        <x:v>0.8920999999999999</x:v>
      </x:c>
      <x:c r="AA118" s="68" t="n">
        <x:v>0.4047</x:v>
      </x:c>
      <x:c r="AB118" s="68" t="n">
        <x:v>0.9036837886985374</x:v>
      </x:c>
      <x:c r="AC118" s="68" t="n">
        <x:v>0.2671</x:v>
      </x:c>
      <x:c r="AD118" s="60" t="str">
        <x:v>盈利能力 70、同行估值 55</x:v>
      </x:c>
      <x:c r="AE118" s="60" t="str">
        <x:v>稳健性 15、行业地位 15</x:v>
      </x:c>
    </x:row>
    <x:row r="119" ht="52.79999923706055" hidden="0" customHeight="1">
      <x:c r="A119" s="60" t="str">
        <x:v>历史低估关注</x:v>
      </x:c>
      <x:c r="B119" s="66" t="str">
        <x:v>002508.SZ</x:v>
      </x:c>
      <x:c r="C119" s="60" t="str">
        <x:v>老板电器</x:v>
      </x:c>
      <x:c r="D119" s="60" t="str">
        <x:v>家电</x:v>
      </x:c>
      <x:c r="E119" s="60" t="str">
        <x:v>厨卫电器</x:v>
      </x:c>
      <x:c r="F119" s="60" t="str">
        <x:v>厨房电器</x:v>
      </x:c>
      <x:c r="G119" s="61" t="n">
        <x:v>1</x:v>
      </x:c>
      <x:c r="H119" s="67" t="n">
        <x:v>90.95</x:v>
      </x:c>
      <x:c r="I119" s="68" t="n">
        <x:v>1</x:v>
      </x:c>
      <x:c r="J119" s="69" t="str">
        <x:v>历史偏低位</x:v>
      </x:c>
      <x:c r="K119" s="69" t="str">
        <x:v>完整</x:v>
      </x:c>
      <x:c r="L119" s="69" t="str">
        <x:v>2026-08-19</x:v>
      </x:c>
      <x:c r="M119" s="69" t="str">
        <x:v>2026-08-24</x:v>
      </x:c>
      <x:c r="N119" s="70" t="n">
        <x:v>16.43</x:v>
      </x:c>
      <x:c r="O119" s="70" t="n">
        <x:v>12.6997</x:v>
      </x:c>
      <x:c r="P119" s="68" t="n">
        <x:v>0.3272</x:v>
      </x:c>
      <x:c r="Q119" s="70" t="n">
        <x:v>1.315</x:v>
      </x:c>
      <x:c r="R119" s="68" t="n">
        <x:v>0.0404</x:v>
      </x:c>
      <x:c r="S119" s="68" t="n">
        <x:v>0.060864</x:v>
      </x:c>
      <x:c r="T119" s="68" t="n">
        <x:v>0.1092</x:v>
      </x:c>
      <x:c r="U119" s="68" t="n">
        <x:v>0.1589</x:v>
      </x:c>
      <x:c r="V119" s="71" t="n">
        <x:v>156.58</x:v>
      </x:c>
      <x:c r="W119" s="71" t="n">
        <x:v>28.043328</x:v>
      </x:c>
      <x:c r="X119" s="71" t="n">
        <x:v>0.98553656</x:v>
      </x:c>
      <x:c r="Y119" s="68" t="n">
        <x:v>0.10640000000000001</x:v>
      </x:c>
      <x:c r="Z119" s="68" t="n">
        <x:v>0.5019</x:v>
      </x:c>
      <x:c r="AA119" s="68" t="n">
        <x:v>0.1225</x:v>
      </x:c>
      <x:c r="AB119" s="68" t="n">
        <x:v>8.813797836175656</x:v>
      </x:c>
      <x:c r="AC119" s="68" t="n">
        <x:v>0.3275</x:v>
      </x:c>
      <x:c r="AD119" s="60" t="str">
        <x:v>盈利能力 100、行业地位 100</x:v>
      </x:c>
      <x:c r="AE119" s="60" t="str">
        <x:v>稳健性 74、现金流 84</x:v>
      </x:c>
    </x:row>
    <x:row r="120" ht="39.599998474121094" hidden="0" customHeight="1">
      <x:c r="A120" s="60" t="str">
        <x:v>历史低估关注</x:v>
      </x:c>
      <x:c r="B120" s="66" t="str">
        <x:v>002078.SZ</x:v>
      </x:c>
      <x:c r="C120" s="60" t="str">
        <x:v>太阳纸业</x:v>
      </x:c>
      <x:c r="D120" s="60" t="str">
        <x:v>轻工制造</x:v>
      </x:c>
      <x:c r="E120" s="60" t="str">
        <x:v>造纸</x:v>
      </x:c>
      <x:c r="F120" s="60" t="str">
        <x:v>大宗用纸</x:v>
      </x:c>
      <x:c r="G120" s="61" t="n">
        <x:v>1</x:v>
      </x:c>
      <x:c r="H120" s="67" t="n">
        <x:v>89.2083</x:v>
      </x:c>
      <x:c r="I120" s="68" t="n">
        <x:v>1</x:v>
      </x:c>
      <x:c r="J120" s="69" t="str">
        <x:v>历史偏低位</x:v>
      </x:c>
      <x:c r="K120" s="69" t="str">
        <x:v>完整</x:v>
      </x:c>
      <x:c r="L120" s="69" t="str">
        <x:v>2026-08-19</x:v>
      </x:c>
      <x:c r="M120" s="69" t="str">
        <x:v>2026-08-24</x:v>
      </x:c>
      <x:c r="N120" s="70" t="n">
        <x:v>13.88</x:v>
      </x:c>
      <x:c r="O120" s="70" t="n">
        <x:v>12.1116</x:v>
      </x:c>
      <x:c r="P120" s="68" t="n">
        <x:v>0.4191</x:v>
      </x:c>
      <x:c r="Q120" s="70" t="n">
        <x:v>1.2685</x:v>
      </x:c>
      <x:c r="R120" s="68" t="n">
        <x:v>0.0842</x:v>
      </x:c>
      <x:c r="S120" s="68" t="n">
        <x:v>0.021614</x:v>
      </x:c>
      <x:c r="T120" s="68" t="n">
        <x:v>0.20670000000000002</x:v>
      </x:c>
      <x:c r="U120" s="68" t="n">
        <x:v>0.23670000000000002</x:v>
      </x:c>
      <x:c r="V120" s="71" t="n">
        <x:v>392.45</x:v>
      </x:c>
      <x:c r="W120" s="71" t="n">
        <x:v>102.5573888</x:v>
      </x:c>
      <x:c r="X120" s="71" t="n">
        <x:v>7.50980416</x:v>
      </x:c>
      <x:c r="Y120" s="68" t="n">
        <x:v>0.1093</x:v>
      </x:c>
      <x:c r="Z120" s="68" t="n">
        <x:v>0.1559</x:v>
      </x:c>
      <x:c r="AA120" s="68" t="n">
        <x:v>0.08289999999999999</x:v>
      </x:c>
      <x:c r="AB120" s="68" t="n">
        <x:v>2.1749277254122164</x:v>
      </x:c>
      <x:c r="AC120" s="68" t="n">
        <x:v>0.4775</x:v>
      </x:c>
      <x:c r="AD120" s="60" t="str">
        <x:v>行业地位 100、成长稳定 96</x:v>
      </x:c>
      <x:c r="AE120" s="60" t="str">
        <x:v>同行估值 77、稳健性 78</x:v>
      </x:c>
    </x:row>
    <x:row r="121" ht="52.79999923706055" hidden="0" customHeight="1">
      <x:c r="A121" s="60" t="str">
        <x:v>历史低估关注</x:v>
      </x:c>
      <x:c r="B121" s="66" t="str">
        <x:v>600987.SH</x:v>
      </x:c>
      <x:c r="C121" s="60" t="str">
        <x:v>航民股份</x:v>
      </x:c>
      <x:c r="D121" s="60" t="str">
        <x:v>纺织服饰</x:v>
      </x:c>
      <x:c r="E121" s="60" t="str">
        <x:v>纺织制造</x:v>
      </x:c>
      <x:c r="F121" s="60" t="str">
        <x:v>印染</x:v>
      </x:c>
      <x:c r="G121" s="61" t="n">
        <x:v>1</x:v>
      </x:c>
      <x:c r="H121" s="67" t="n">
        <x:v>89</x:v>
      </x:c>
      <x:c r="I121" s="68" t="n">
        <x:v>1</x:v>
      </x:c>
      <x:c r="J121" s="69" t="str">
        <x:v>历史偏低位</x:v>
      </x:c>
      <x:c r="K121" s="69" t="str">
        <x:v>完整</x:v>
      </x:c>
      <x:c r="L121" s="69" t="str">
        <x:v>2026-08-19</x:v>
      </x:c>
      <x:c r="M121" s="69" t="str">
        <x:v>2026-08-24</x:v>
      </x:c>
      <x:c r="N121" s="70" t="n">
        <x:v>6.54</x:v>
      </x:c>
      <x:c r="O121" s="70" t="n">
        <x:v>9.0494</x:v>
      </x:c>
      <x:c r="P121" s="68" t="n">
        <x:v>0.1508</x:v>
      </x:c>
      <x:c r="Q121" s="70" t="n">
        <x:v>0.9765</x:v>
      </x:c>
      <x:c r="R121" s="68" t="n">
        <x:v>0.0518</x:v>
      </x:c>
      <x:c r="S121" s="68" t="n">
        <x:v>0.053517</x:v>
      </x:c>
      <x:c r="T121" s="68" t="n">
        <x:v>0.171</x:v>
      </x:c>
      <x:c r="U121" s="68" t="n">
        <x:v>0.1245</x:v>
      </x:c>
      <x:c r="V121" s="71" t="n">
        <x:v>66.25</x:v>
      </x:c>
      <x:c r="W121" s="71" t="n">
        <x:v>25.85669888</x:v>
      </x:c>
      <x:c r="X121" s="71" t="n">
        <x:v>2.51975952</x:v>
      </x:c>
      <x:c r="Y121" s="68" t="n">
        <x:v>0.1125</x:v>
      </x:c>
      <x:c r="Z121" s="68" t="n">
        <x:v>0.1577</x:v>
      </x:c>
      <x:c r="AA121" s="68" t="n">
        <x:v>0.0786</x:v>
      </x:c>
      <x:c r="AB121" s="68" t="n">
        <x:v>1.5079191366642797</x:v>
      </x:c>
      <x:c r="AC121" s="68" t="n">
        <x:v>0.3404</x:v>
      </x:c>
      <x:c r="AD121" s="60" t="str">
        <x:v>同行估值 100、盈利能力 100</x:v>
      </x:c>
      <x:c r="AE121" s="60" t="str">
        <x:v>现金流 50、成长稳定 77</x:v>
      </x:c>
    </x:row>
    <x:row r="122" ht="52.79999923706055" hidden="0" customHeight="1">
      <x:c r="A122" s="60" t="str">
        <x:v>历史低估关注</x:v>
      </x:c>
      <x:c r="B122" s="66" t="str">
        <x:v>300413.SZ</x:v>
      </x:c>
      <x:c r="C122" s="60" t="str">
        <x:v>芒果超媒</x:v>
      </x:c>
      <x:c r="D122" s="60" t="str">
        <x:v>传媒</x:v>
      </x:c>
      <x:c r="E122" s="60" t="str">
        <x:v>数字媒体</x:v>
      </x:c>
      <x:c r="F122" s="60" t="str">
        <x:v>视频音频媒体</x:v>
      </x:c>
      <x:c r="G122" s="61" t="n">
        <x:v>1</x:v>
      </x:c>
      <x:c r="H122" s="67" t="n">
        <x:v>88.5</x:v>
      </x:c>
      <x:c r="I122" s="68" t="n">
        <x:v>1</x:v>
      </x:c>
      <x:c r="J122" s="69" t="str">
        <x:v>历史偏低位</x:v>
      </x:c>
      <x:c r="K122" s="69" t="str">
        <x:v>完整</x:v>
      </x:c>
      <x:c r="L122" s="69" t="str">
        <x:v>2026-08-19</x:v>
      </x:c>
      <x:c r="M122" s="69" t="str">
        <x:v>2026-08-24</x:v>
      </x:c>
      <x:c r="N122" s="70" t="n">
        <x:v>14.84</x:v>
      </x:c>
      <x:c r="O122" s="70" t="n">
        <x:v>26.4975</x:v>
      </x:c>
      <x:c r="P122" s="68" t="n">
        <x:v>0.35090000000000005</x:v>
      </x:c>
      <x:c r="Q122" s="70" t="n">
        <x:v>1.1779</x:v>
      </x:c>
      <x:c r="R122" s="68" t="n">
        <x:v>0.0053</x:v>
      </x:c>
      <x:c r="S122" s="68" t="n">
        <x:v>0.01752</x:v>
      </x:c>
      <x:c r="T122" s="68" t="n">
        <x:v>0.005</x:v>
      </x:c>
      <x:c r="U122" s="68" t="n">
        <x:v>0.1204</x:v>
      </x:c>
      <x:c r="V122" s="71" t="n">
        <x:v>261.53</x:v>
      </x:c>
      <x:c r="W122" s="71" t="n">
        <x:v>47.50352896</x:v>
      </x:c>
      <x:c r="X122" s="71" t="n">
        <x:v>2.11274896</x:v>
      </x:c>
      <x:c r="Y122" s="68" t="n">
        <x:v>0.0536</x:v>
      </x:c>
      <x:c r="Z122" s="68" t="n">
        <x:v>0.2309</x:v>
      </x:c>
      <x:c r="AA122" s="68" t="n">
        <x:v>0.0885</x:v>
      </x:c>
      <x:c r="AB122" s="68" t="n">
        <x:v>2.4109560844370264</x:v>
      </x:c>
      <x:c r="AC122" s="68" t="n">
        <x:v>0.294</x:v>
      </x:c>
      <x:c r="AD122" s="60" t="str">
        <x:v>同行估值 100、盈利能力 100</x:v>
      </x:c>
      <x:c r="AE122" s="60" t="str">
        <x:v>稳健性 30、现金流 70</x:v>
      </x:c>
    </x:row>
    <x:row r="123" ht="52.79999923706055" hidden="0" customHeight="1">
      <x:c r="A123" s="60" t="str">
        <x:v>历史低估关注</x:v>
      </x:c>
      <x:c r="B123" s="66" t="str">
        <x:v>600989.SH</x:v>
      </x:c>
      <x:c r="C123" s="60" t="str">
        <x:v>宝丰能源</x:v>
      </x:c>
      <x:c r="D123" s="60" t="str">
        <x:v>化工</x:v>
      </x:c>
      <x:c r="E123" s="60" t="str">
        <x:v>化学原料</x:v>
      </x:c>
      <x:c r="F123" s="60" t="str">
        <x:v>煤化工</x:v>
      </x:c>
      <x:c r="G123" s="61" t="n">
        <x:v>1</x:v>
      </x:c>
      <x:c r="H123" s="67" t="n">
        <x:v>86.7143</x:v>
      </x:c>
      <x:c r="I123" s="68" t="n">
        <x:v>1</x:v>
      </x:c>
      <x:c r="J123" s="69" t="str">
        <x:v>历史偏低位</x:v>
      </x:c>
      <x:c r="K123" s="69" t="str">
        <x:v>完整</x:v>
      </x:c>
      <x:c r="L123" s="69" t="str">
        <x:v>2026-08-19</x:v>
      </x:c>
      <x:c r="M123" s="69" t="str">
        <x:v>2026-08-24</x:v>
      </x:c>
      <x:c r="N123" s="70" t="n">
        <x:v>23.66</x:v>
      </x:c>
      <x:c r="O123" s="70" t="n">
        <x:v>11.2957</x:v>
      </x:c>
      <x:c r="P123" s="68" t="n">
        <x:v>0.0051</x:v>
      </x:c>
      <x:c r="Q123" s="70" t="n">
        <x:v>3.143</x:v>
      </x:c>
      <x:c r="R123" s="68" t="n">
        <x:v>0.6163000000000001</x:v>
      </x:c>
      <x:c r="S123" s="68" t="n">
        <x:v>0.029586</x:v>
      </x:c>
      <x:c r="T123" s="68" t="n">
        <x:v>0.2075</x:v>
      </x:c>
      <x:c r="U123" s="68" t="n">
        <x:v>0.2763</x:v>
      </x:c>
      <x:c r="V123" s="71" t="n">
        <x:v>1702.81</x:v>
      </x:c>
      <x:c r="W123" s="71" t="n">
        <x:v>124.92713984</x:v>
      </x:c>
      <x:c r="X123" s="71" t="n">
        <x:v>24.00408576</x:v>
      </x:c>
      <x:c r="Y123" s="68" t="n">
        <x:v>0.2484</x:v>
      </x:c>
      <x:c r="Z123" s="68" t="n">
        <x:v>0.3592</x:v>
      </x:c>
      <x:c r="AA123" s="68" t="n">
        <x:v>0.23629999999999998</x:v>
      </x:c>
      <x:c r="AB123" s="68" t="n">
        <x:v>1.3619706981083541</x:v>
      </x:c>
      <x:c r="AC123" s="68" t="n">
        <x:v>0.4632</x:v>
      </x:c>
      <x:c r="AD123" s="60" t="str">
        <x:v>盈利能力 100、行业地位 100</x:v>
      </x:c>
      <x:c r="AE123" s="60" t="str">
        <x:v>稳健性 49、同行估值 79</x:v>
      </x:c>
    </x:row>
    <x:row r="124" ht="39.599998474121094" hidden="0" customHeight="1">
      <x:c r="A124" s="60" t="str">
        <x:v>历史低估关注</x:v>
      </x:c>
      <x:c r="B124" s="66" t="str">
        <x:v>601216.SH</x:v>
      </x:c>
      <x:c r="C124" s="60" t="str">
        <x:v>君正集团</x:v>
      </x:c>
      <x:c r="D124" s="60" t="str">
        <x:v>化工</x:v>
      </x:c>
      <x:c r="E124" s="60" t="str">
        <x:v>化学原料</x:v>
      </x:c>
      <x:c r="F124" s="60" t="str">
        <x:v>氯碱</x:v>
      </x:c>
      <x:c r="G124" s="61" t="n">
        <x:v>1</x:v>
      </x:c>
      <x:c r="H124" s="67" t="n">
        <x:v>85.3063</x:v>
      </x:c>
      <x:c r="I124" s="68" t="n">
        <x:v>1</x:v>
      </x:c>
      <x:c r="J124" s="69" t="str">
        <x:v>历史偏低位</x:v>
      </x:c>
      <x:c r="K124" s="69" t="str">
        <x:v>完整</x:v>
      </x:c>
      <x:c r="L124" s="69" t="str">
        <x:v>2026-08-19</x:v>
      </x:c>
      <x:c r="M124" s="69" t="str">
        <x:v>2026-08-24</x:v>
      </x:c>
      <x:c r="N124" s="70" t="n">
        <x:v>4.37</x:v>
      </x:c>
      <x:c r="O124" s="70" t="n">
        <x:v>12.1796</x:v>
      </x:c>
      <x:c r="P124" s="68" t="n">
        <x:v>0.6265</x:v>
      </x:c>
      <x:c r="Q124" s="70" t="n">
        <x:v>1.2351</x:v>
      </x:c>
      <x:c r="R124" s="68" t="n">
        <x:v>0.1222</x:v>
      </x:c>
      <x:c r="S124" s="68" t="n">
        <x:v>0.086957</x:v>
      </x:c>
      <x:c r="T124" s="68" t="n">
        <x:v>0.0287</x:v>
      </x:c>
      <x:c r="U124" s="68" t="n">
        <x:v>0.2591</x:v>
      </x:c>
      <x:c r="V124" s="71" t="n">
        <x:v>372.96</x:v>
      </x:c>
      <x:c r="W124" s="71" t="n">
        <x:v>65.47625984</x:v>
      </x:c>
      <x:c r="X124" s="71" t="n">
        <x:v>5.19287136</x:v>
      </x:c>
      <x:c r="Y124" s="68" t="n">
        <x:v>0.11779999999999999</x:v>
      </x:c>
      <x:c r="Z124" s="68" t="n">
        <x:v>0.2094</x:v>
      </x:c>
      <x:c r="AA124" s="68" t="n">
        <x:v>0.1328</x:v>
      </x:c>
      <x:c r="AB124" s="68" t="n">
        <x:v>2.4261846224513444</x:v>
      </x:c>
      <x:c r="AC124" s="68" t="n">
        <x:v>0.2859</x:v>
      </x:c>
      <x:c r="AD124" s="60" t="str">
        <x:v>盈利能力 100、行业地位 98</x:v>
      </x:c>
      <x:c r="AE124" s="60" t="str">
        <x:v>稳健性 58、成长稳定 67</x:v>
      </x:c>
    </x:row>
    <x:row r="125" ht="39.599998474121094" hidden="0" customHeight="1">
      <x:c r="A125" s="60" t="str">
        <x:v>历史低估关注</x:v>
      </x:c>
      <x:c r="B125" s="66" t="str">
        <x:v>300750.SZ</x:v>
      </x:c>
      <x:c r="C125" s="60" t="str">
        <x:v>宁德时代</x:v>
      </x:c>
      <x:c r="D125" s="60" t="str">
        <x:v>电力设备</x:v>
      </x:c>
      <x:c r="E125" s="60" t="str">
        <x:v>电池</x:v>
      </x:c>
      <x:c r="F125" s="60" t="str">
        <x:v>锂电池</x:v>
      </x:c>
      <x:c r="G125" s="61" t="n">
        <x:v>1</x:v>
      </x:c>
      <x:c r="H125" s="67" t="n">
        <x:v>84.9908</x:v>
      </x:c>
      <x:c r="I125" s="68" t="n">
        <x:v>1</x:v>
      </x:c>
      <x:c r="J125" s="69" t="str">
        <x:v>历史偏低位</x:v>
      </x:c>
      <x:c r="K125" s="69" t="str">
        <x:v>完整</x:v>
      </x:c>
      <x:c r="L125" s="69" t="str">
        <x:v>2026-08-19</x:v>
      </x:c>
      <x:c r="M125" s="69" t="str">
        <x:v>2026-08-24</x:v>
      </x:c>
      <x:c r="N125" s="70" t="n">
        <x:v>389</x:v>
      </x:c>
      <x:c r="O125" s="70" t="n">
        <x:v>21.1737</x:v>
      </x:c>
      <x:c r="P125" s="68" t="n">
        <x:v>0.25120000000000003</x:v>
      </x:c>
      <x:c r="Q125" s="70" t="n">
        <x:v>4.7443</x:v>
      </x:c>
      <x:c r="R125" s="68" t="n">
        <x:v>0.3035</x:v>
      </x:c>
      <x:c r="S125" s="68" t="n">
        <x:v>0.0241</x:v>
      </x:c>
      <x:c r="T125" s="68" t="n">
        <x:v>0.12789999999999999</x:v>
      </x:c>
      <x:c r="U125" s="68" t="n">
        <x:v>0.2275</x:v>
      </x:c>
      <x:c r="V125" s="71" t="n">
        <x:v>17946.33</x:v>
      </x:c>
      <x:c r="W125" s="71" t="n">
        <x:v>1406.2985216</x:v>
      </x:c>
      <x:c r="X125" s="71" t="n">
        <x:v>231.67172608</x:v>
      </x:c>
      <x:c r="Y125" s="68" t="n">
        <x:v>0.2491</x:v>
      </x:c>
      <x:c r="Z125" s="68" t="n">
        <x:v>0.2627</x:v>
      </x:c>
      <x:c r="AA125" s="68" t="n">
        <x:v>0.1812</x:v>
      </x:c>
      <x:c r="AB125" s="68" t="n">
        <x:v>2.268708115631268</x:v>
      </x:c>
      <x:c r="AC125" s="68" t="n">
        <x:v>0.6194</x:v>
      </x:c>
      <x:c r="AD125" s="60" t="str">
        <x:v>行业地位 100、盈利能力 93</x:v>
      </x:c>
      <x:c r="AE125" s="60" t="str">
        <x:v>稳健性 65、同行估值 68</x:v>
      </x:c>
    </x:row>
    <x:row r="126" ht="52.79999923706055" hidden="0" customHeight="1">
      <x:c r="A126" s="60" t="str">
        <x:v>历史低估关注</x:v>
      </x:c>
      <x:c r="B126" s="66" t="str">
        <x:v>601668.SH</x:v>
      </x:c>
      <x:c r="C126" s="60" t="str">
        <x:v>中国建筑</x:v>
      </x:c>
      <x:c r="D126" s="60" t="str">
        <x:v>建筑</x:v>
      </x:c>
      <x:c r="E126" s="60" t="str">
        <x:v>房屋建设</x:v>
      </x:c>
      <x:c r="F126" s="60" t="str">
        <x:v>房屋建设</x:v>
      </x:c>
      <x:c r="G126" s="61" t="n">
        <x:v>1</x:v>
      </x:c>
      <x:c r="H126" s="67" t="n">
        <x:v>84.875</x:v>
      </x:c>
      <x:c r="I126" s="68" t="n">
        <x:v>1</x:v>
      </x:c>
      <x:c r="J126" s="69" t="str">
        <x:v>历史偏低位</x:v>
      </x:c>
      <x:c r="K126" s="69" t="str">
        <x:v>完整</x:v>
      </x:c>
      <x:c r="L126" s="69" t="str">
        <x:v>2026-08-19</x:v>
      </x:c>
      <x:c r="M126" s="69" t="str">
        <x:v>2026-08-24</x:v>
      </x:c>
      <x:c r="N126" s="70" t="n">
        <x:v>4.41</x:v>
      </x:c>
      <x:c r="O126" s="70" t="n">
        <x:v>4.8033</x:v>
      </x:c>
      <x:c r="P126" s="68" t="n">
        <x:v>0.7321</x:v>
      </x:c>
      <x:c r="Q126" s="70" t="n">
        <x:v>0.3608</x:v>
      </x:c>
      <x:c r="R126" s="68" t="n">
        <x:v>0.0059</x:v>
      </x:c>
      <x:c r="S126" s="68" t="n">
        <x:v>0.061678</x:v>
      </x:c>
      <x:c r="T126" s="68" t="n">
        <x:v>0.005699999999999999</x:v>
      </x:c>
      <x:c r="U126" s="68" t="n">
        <x:v>0.24789999999999998</x:v>
      </x:c>
      <x:c r="V126" s="71" t="n">
        <x:v>1826.36</x:v>
      </x:c>
      <x:c r="W126" s="71" t="n">
        <x:v>5239.21915904</x:v>
      </x:c>
      <x:c r="X126" s="71" t="n">
        <x:v>8.866</x:v>
      </x:c>
      <x:c r="Y126" s="68" t="n">
        <x:v>0.0815</x:v>
      </x:c>
      <x:c r="Z126" s="68" t="n">
        <x:v>0.099</x:v>
      </x:c>
      <x:c r="AA126" s="68" t="n">
        <x:v>0.025699999999999997</x:v>
      </x:c>
      <x:c r="AB126" s="68" t="n">
        <x:v>101.52956535077824</x:v>
      </x:c>
      <x:c r="AC126" s="68" t="n">
        <x:v>0.769</x:v>
      </x:c>
      <x:c r="AD126" s="60" t="str">
        <x:v>同行估值 100、行业地位 100</x:v>
      </x:c>
      <x:c r="AE126" s="60" t="str">
        <x:v>成长稳定 62、现金流 67</x:v>
      </x:c>
    </x:row>
    <x:row r="127" ht="39.599998474121094" hidden="0" customHeight="1">
      <x:c r="A127" s="60" t="str">
        <x:v>历史低估关注</x:v>
      </x:c>
      <x:c r="B127" s="66" t="str">
        <x:v>600483.SH</x:v>
      </x:c>
      <x:c r="C127" s="60" t="str">
        <x:v>福能股份</x:v>
      </x:c>
      <x:c r="D127" s="60" t="str">
        <x:v>公用事业</x:v>
      </x:c>
      <x:c r="E127" s="60" t="str">
        <x:v>电力</x:v>
      </x:c>
      <x:c r="F127" s="60" t="str">
        <x:v>电能综合服务</x:v>
      </x:c>
      <x:c r="G127" s="61" t="n">
        <x:v>1</x:v>
      </x:c>
      <x:c r="H127" s="67" t="n">
        <x:v>84.7917</x:v>
      </x:c>
      <x:c r="I127" s="68" t="n">
        <x:v>1</x:v>
      </x:c>
      <x:c r="J127" s="69" t="str">
        <x:v>历史偏低位</x:v>
      </x:c>
      <x:c r="K127" s="69" t="str">
        <x:v>完整</x:v>
      </x:c>
      <x:c r="L127" s="69" t="str">
        <x:v>2026-08-19</x:v>
      </x:c>
      <x:c r="M127" s="69" t="str">
        <x:v>2026-08-24</x:v>
      </x:c>
      <x:c r="N127" s="70" t="n">
        <x:v>10.3</x:v>
      </x:c>
      <x:c r="O127" s="70" t="n">
        <x:v>10.0294</x:v>
      </x:c>
      <x:c r="P127" s="68" t="n">
        <x:v>0.5212</x:v>
      </x:c>
      <x:c r="Q127" s="70" t="n">
        <x:v>1.02</x:v>
      </x:c>
      <x:c r="R127" s="68" t="n">
        <x:v>0.075</x:v>
      </x:c>
      <x:c r="S127" s="68" t="n">
        <x:v>0.04135900000000001</x:v>
      </x:c>
      <x:c r="T127" s="68" t="n">
        <x:v>0.1478</x:v>
      </x:c>
      <x:c r="U127" s="68" t="n">
        <x:v>0.248</x:v>
      </x:c>
      <x:c r="V127" s="71" t="n">
        <x:v>301.09</x:v>
      </x:c>
      <x:c r="W127" s="71" t="n">
        <x:v>37.15394816</x:v>
      </x:c>
      <x:c r="X127" s="71" t="n">
        <x:v>9.68235648</x:v>
      </x:c>
      <x:c r="Y127" s="68" t="n">
        <x:v>0.1127</x:v>
      </x:c>
      <x:c r="Z127" s="68" t="n">
        <x:v>0.2874</x:v>
      </x:c>
      <x:c r="AA127" s="68" t="n">
        <x:v>0.26530000000000004</x:v>
      </x:c>
      <x:c r="AB127" s="68" t="n">
        <x:v>1.5521753976982264</x:v>
      </x:c>
      <x:c r="AC127" s="68" t="n">
        <x:v>0.4182</x:v>
      </x:c>
      <x:c r="AD127" s="60" t="str">
        <x:v>行业地位 100、盈利能力 97</x:v>
      </x:c>
      <x:c r="AE127" s="60" t="str">
        <x:v>现金流 62、稳健性 66</x:v>
      </x:c>
    </x:row>
    <x:row r="128" ht="39.599998474121094" hidden="0" customHeight="1">
      <x:c r="A128" s="60" t="str">
        <x:v>历史低估关注</x:v>
      </x:c>
      <x:c r="B128" s="66" t="str">
        <x:v>002003.SZ</x:v>
      </x:c>
      <x:c r="C128" s="60" t="str">
        <x:v>伟星股份</x:v>
      </x:c>
      <x:c r="D128" s="60" t="str">
        <x:v>纺织服饰</x:v>
      </x:c>
      <x:c r="E128" s="60" t="str">
        <x:v>纺织制造</x:v>
      </x:c>
      <x:c r="F128" s="60" t="str">
        <x:v>辅料</x:v>
      </x:c>
      <x:c r="G128" s="61" t="n">
        <x:v>1</x:v>
      </x:c>
      <x:c r="H128" s="67" t="n">
        <x:v>84.5</x:v>
      </x:c>
      <x:c r="I128" s="68" t="n">
        <x:v>1</x:v>
      </x:c>
      <x:c r="J128" s="69" t="str">
        <x:v>历史偏低位</x:v>
      </x:c>
      <x:c r="K128" s="69" t="str">
        <x:v>完整</x:v>
      </x:c>
      <x:c r="L128" s="69" t="str">
        <x:v>2026-08-19</x:v>
      </x:c>
      <x:c r="M128" s="69" t="str">
        <x:v>2026-08-24</x:v>
      </x:c>
      <x:c r="N128" s="70" t="n">
        <x:v>10.29</x:v>
      </x:c>
      <x:c r="O128" s="70" t="n">
        <x:v>19.1949</x:v>
      </x:c>
      <x:c r="P128" s="68" t="n">
        <x:v>0.35009999999999997</x:v>
      </x:c>
      <x:c r="Q128" s="70" t="n">
        <x:v>2.6174</x:v>
      </x:c>
      <x:c r="R128" s="68" t="n">
        <x:v>0.0935</x:v>
      </x:c>
      <x:c r="S128" s="68" t="n">
        <x:v>0.048590999999999995</x:v>
      </x:c>
      <x:c r="T128" s="68" t="n">
        <x:v>0.2473</x:v>
      </x:c>
      <x:c r="U128" s="68" t="n">
        <x:v>0.2303</x:v>
      </x:c>
      <x:c r="V128" s="71" t="n">
        <x:v>127.81</x:v>
      </x:c>
      <x:c r="W128" s="71" t="n">
        <x:v>11.67804928</x:v>
      </x:c>
      <x:c r="X128" s="71" t="n">
        <x:v>0.6123546</x:v>
      </x:c>
      <x:c r="Y128" s="68" t="n">
        <x:v>0.1441</x:v>
      </x:c>
      <x:c r="Z128" s="68" t="n">
        <x:v>0.4203</x:v>
      </x:c>
      <x:c r="AA128" s="68" t="n">
        <x:v>0.135</x:v>
      </x:c>
      <x:c r="AB128" s="68" t="n">
        <x:v>6.689381609936465</x:v>
      </x:c>
      <x:c r="AC128" s="68" t="n">
        <x:v>0.32380000000000003</x:v>
      </x:c>
      <x:c r="AD128" s="60" t="str">
        <x:v>成长稳定 100、行业地位 90</x:v>
      </x:c>
      <x:c r="AE128" s="60" t="str">
        <x:v>稳健性 67、同行估值 67</x:v>
      </x:c>
    </x:row>
    <x:row r="129" ht="39.599998474121094" hidden="0" customHeight="1">
      <x:c r="A129" s="60" t="str">
        <x:v>历史低估关注</x:v>
      </x:c>
      <x:c r="B129" s="66" t="str">
        <x:v>002315.SZ</x:v>
      </x:c>
      <x:c r="C129" s="60" t="str">
        <x:v>焦点科技</x:v>
      </x:c>
      <x:c r="D129" s="60" t="str">
        <x:v>商贸</x:v>
      </x:c>
      <x:c r="E129" s="60" t="str">
        <x:v>电子商务</x:v>
      </x:c>
      <x:c r="F129" s="60" t="str">
        <x:v>跨境电商</x:v>
      </x:c>
      <x:c r="G129" s="61" t="n">
        <x:v>1</x:v>
      </x:c>
      <x:c r="H129" s="67" t="n">
        <x:v>83.8857</x:v>
      </x:c>
      <x:c r="I129" s="68" t="n">
        <x:v>1</x:v>
      </x:c>
      <x:c r="J129" s="69" t="str">
        <x:v>历史偏低位</x:v>
      </x:c>
      <x:c r="K129" s="69" t="str">
        <x:v>完整</x:v>
      </x:c>
      <x:c r="L129" s="69" t="str">
        <x:v>2026-08-19</x:v>
      </x:c>
      <x:c r="M129" s="69" t="str">
        <x:v>2026-08-24</x:v>
      </x:c>
      <x:c r="N129" s="70" t="n">
        <x:v>24.68</x:v>
      </x:c>
      <x:c r="O129" s="70" t="n">
        <x:v>20.7913</x:v>
      </x:c>
      <x:c r="P129" s="68" t="n">
        <x:v>0.2945</x:v>
      </x:c>
      <x:c r="Q129" s="70" t="n">
        <x:v>3.5376</x:v>
      </x:c>
      <x:c r="R129" s="68" t="n">
        <x:v>0.3942</x:v>
      </x:c>
      <x:c r="S129" s="68" t="n">
        <x:v>0.052674000000000006</x:v>
      </x:c>
      <x:c r="T129" s="68" t="n">
        <x:v>0.15259999999999999</x:v>
      </x:c>
      <x:c r="U129" s="68" t="n">
        <x:v>0.2804</x:v>
      </x:c>
      <x:c r="V129" s="71" t="n">
        <x:v>103.68</x:v>
      </x:c>
      <x:c r="W129" s="71" t="n">
        <x:v>5.10873952</x:v>
      </x:c>
      <x:c r="X129" s="71" t="n">
        <x:v>0.87260176</x:v>
      </x:c>
      <x:c r="Y129" s="68" t="n">
        <x:v>0.20600000000000002</x:v>
      </x:c>
      <x:c r="Z129" s="68" t="n">
        <x:v>0.7929999999999999</x:v>
      </x:c>
      <x:c r="AA129" s="68" t="n">
        <x:v>0.2638</x:v>
      </x:c>
      <x:c r="AB129" s="68" t="n">
        <x:v>5.399283907013894</x:v>
      </x:c>
      <x:c r="AC129" s="68" t="n">
        <x:v>0.4252</x:v>
      </x:c>
      <x:c r="AD129" s="60" t="str">
        <x:v>盈利能力 100、成长稳定 94</x:v>
      </x:c>
      <x:c r="AE129" s="60" t="str">
        <x:v>稳健性 69、行业地位 73</x:v>
      </x:c>
    </x:row>
    <x:row r="130" ht="39.599998474121094" hidden="0" customHeight="1">
      <x:c r="A130" s="60" t="str">
        <x:v>历史低估关注</x:v>
      </x:c>
      <x:c r="B130" s="66" t="str">
        <x:v>002444.SZ</x:v>
      </x:c>
      <x:c r="C130" s="60" t="str">
        <x:v>巨星科技</x:v>
      </x:c>
      <x:c r="D130" s="60" t="str">
        <x:v>机械设备</x:v>
      </x:c>
      <x:c r="E130" s="60" t="str">
        <x:v>通用设备</x:v>
      </x:c>
      <x:c r="F130" s="60" t="str">
        <x:v>其他通用设备</x:v>
      </x:c>
      <x:c r="G130" s="61" t="n">
        <x:v>1</x:v>
      </x:c>
      <x:c r="H130" s="67" t="n">
        <x:v>83.6786</x:v>
      </x:c>
      <x:c r="I130" s="68" t="n">
        <x:v>1</x:v>
      </x:c>
      <x:c r="J130" s="69" t="str">
        <x:v>历史偏低位</x:v>
      </x:c>
      <x:c r="K130" s="69" t="str">
        <x:v>完整</x:v>
      </x:c>
      <x:c r="L130" s="69" t="str">
        <x:v>2026-08-19</x:v>
      </x:c>
      <x:c r="M130" s="69" t="str">
        <x:v>2026-08-24</x:v>
      </x:c>
      <x:c r="N130" s="70" t="n">
        <x:v>30.1</x:v>
      </x:c>
      <x:c r="O130" s="70" t="n">
        <x:v>14.0204</x:v>
      </x:c>
      <x:c r="P130" s="68" t="n">
        <x:v>0.13849999999999998</x:v>
      </x:c>
      <x:c r="Q130" s="70" t="n">
        <x:v>1.8801</x:v>
      </x:c>
      <x:c r="R130" s="68" t="n">
        <x:v>0.2962</x:v>
      </x:c>
      <x:c r="S130" s="68" t="n">
        <x:v>0.021595</x:v>
      </x:c>
      <x:c r="T130" s="68" t="n">
        <x:v>0.098</x:v>
      </x:c>
      <x:c r="U130" s="68" t="n">
        <x:v>0.1776</x:v>
      </x:c>
      <x:c r="V130" s="71" t="n">
        <x:v>341.5</x:v>
      </x:c>
      <x:c r="W130" s="71" t="n">
        <x:v>35.09997568</x:v>
      </x:c>
      <x:c r="X130" s="71" t="n">
        <x:v>3.54530112</x:v>
      </x:c>
      <x:c r="Y130" s="68" t="n">
        <x:v>0.1416</x:v>
      </x:c>
      <x:c r="Z130" s="68" t="n">
        <x:v>0.3272</x:v>
      </x:c>
      <x:c r="AA130" s="68" t="n">
        <x:v>0.175</x:v>
      </x:c>
      <x:c r="AB130" s="68" t="n">
        <x:v>1.9656747238440497</x:v>
      </x:c>
      <x:c r="AC130" s="68" t="n">
        <x:v>0.18969999999999998</x:v>
      </x:c>
      <x:c r="AD130" s="60" t="str">
        <x:v>行业地位 99、同行估值 93</x:v>
      </x:c>
      <x:c r="AE130" s="60" t="str">
        <x:v>现金流 54、稳健性 76</x:v>
      </x:c>
    </x:row>
    <x:row r="131" ht="39.599998474121094" hidden="0" customHeight="1">
      <x:c r="A131" s="60" t="str">
        <x:v>历史低估关注</x:v>
      </x:c>
      <x:c r="B131" s="66" t="str">
        <x:v>603345.SH</x:v>
      </x:c>
      <x:c r="C131" s="60" t="str">
        <x:v>安井食品</x:v>
      </x:c>
      <x:c r="D131" s="60" t="str">
        <x:v>食品饮料</x:v>
      </x:c>
      <x:c r="E131" s="60" t="str">
        <x:v>食品加工</x:v>
      </x:c>
      <x:c r="F131" s="60" t="str">
        <x:v>预加工食品</x:v>
      </x:c>
      <x:c r="G131" s="61" t="n">
        <x:v>1</x:v>
      </x:c>
      <x:c r="H131" s="67" t="n">
        <x:v>83.5143</x:v>
      </x:c>
      <x:c r="I131" s="68" t="n">
        <x:v>1</x:v>
      </x:c>
      <x:c r="J131" s="69" t="str">
        <x:v>历史偏低位</x:v>
      </x:c>
      <x:c r="K131" s="69" t="str">
        <x:v>完整</x:v>
      </x:c>
      <x:c r="L131" s="69" t="str">
        <x:v>2026-08-19</x:v>
      </x:c>
      <x:c r="M131" s="69" t="str">
        <x:v>2026-08-24</x:v>
      </x:c>
      <x:c r="N131" s="70" t="n">
        <x:v>81</x:v>
      </x:c>
      <x:c r="O131" s="70" t="n">
        <x:v>17.6693</x:v>
      </x:c>
      <x:c r="P131" s="68" t="n">
        <x:v>0.27690000000000003</x:v>
      </x:c>
      <x:c r="Q131" s="70" t="n">
        <x:v>1.6815</x:v>
      </x:c>
      <x:c r="R131" s="68" t="n">
        <x:v>0.0475</x:v>
      </x:c>
      <x:c r="S131" s="68" t="n">
        <x:v>0.03537</x:v>
      </x:c>
      <x:c r="T131" s="68" t="n">
        <x:v>0.255</x:v>
      </x:c>
      <x:c r="U131" s="68" t="n">
        <x:v>0.1931</x:v>
      </x:c>
      <x:c r="V131" s="71" t="n">
        <x:v>261.93</x:v>
      </x:c>
      <x:c r="W131" s="71" t="n">
        <x:v>48.21691392</x:v>
      </x:c>
      <x:c r="X131" s="71" t="n">
        <x:v>4.10020032</x:v>
      </x:c>
      <x:c r="Y131" s="68" t="n">
        <x:v>0.09609999999999999</x:v>
      </x:c>
      <x:c r="Z131" s="68" t="n">
        <x:v>0.21600000000000003</x:v>
      </x:c>
      <x:c r="AA131" s="68" t="n">
        <x:v>0.08460000000000001</x:v>
      </x:c>
      <x:c r="AB131" s="68" t="n">
        <x:v>3.0403219323684167</x:v>
      </x:c>
      <x:c r="AC131" s="68" t="n">
        <x:v>0.23420000000000002</x:v>
      </x:c>
      <x:c r="AD131" s="60" t="str">
        <x:v>行业地位 100、成长稳定 96</x:v>
      </x:c>
      <x:c r="AE131" s="60" t="str">
        <x:v>盈利能力 61、稳健性 71</x:v>
      </x:c>
    </x:row>
    <x:row r="132" ht="39.599998474121094" hidden="0" customHeight="1">
      <x:c r="A132" s="60" t="str">
        <x:v>历史低估关注</x:v>
      </x:c>
      <x:c r="B132" s="66" t="str">
        <x:v>002063.SZ</x:v>
      </x:c>
      <x:c r="C132" s="60" t="str">
        <x:v>远光软件</x:v>
      </x:c>
      <x:c r="D132" s="60" t="str">
        <x:v>计算机</x:v>
      </x:c>
      <x:c r="E132" s="60" t="str">
        <x:v>软件服务</x:v>
      </x:c>
      <x:c r="F132" s="60" t="str">
        <x:v>行业应用软件</x:v>
      </x:c>
      <x:c r="G132" s="61" t="n">
        <x:v>1</x:v>
      </x:c>
      <x:c r="H132" s="67" t="n">
        <x:v>83.2603</x:v>
      </x:c>
      <x:c r="I132" s="68" t="n">
        <x:v>1</x:v>
      </x:c>
      <x:c r="J132" s="69" t="str">
        <x:v>历史偏低位</x:v>
      </x:c>
      <x:c r="K132" s="69" t="str">
        <x:v>完整</x:v>
      </x:c>
      <x:c r="L132" s="69" t="str">
        <x:v>2026-08-19</x:v>
      </x:c>
      <x:c r="M132" s="69" t="str">
        <x:v>2026-08-24</x:v>
      </x:c>
      <x:c r="N132" s="70" t="n">
        <x:v>5.27</x:v>
      </x:c>
      <x:c r="O132" s="70" t="n">
        <x:v>33.4817</x:v>
      </x:c>
      <x:c r="P132" s="68" t="n">
        <x:v>0.23199999999999998</x:v>
      </x:c>
      <x:c r="Q132" s="70" t="n">
        <x:v>2.5293</x:v>
      </x:c>
      <x:c r="R132" s="68" t="n">
        <x:v>0.031</x:v>
      </x:c>
      <x:c r="S132" s="68" t="n">
        <x:v>0.006071999999999999</x:v>
      </x:c>
      <x:c r="T132" s="68" t="n">
        <x:v>0.4671</x:v>
      </x:c>
      <x:c r="U132" s="68" t="n">
        <x:v>0.2434</x:v>
      </x:c>
      <x:c r="V132" s="71" t="n">
        <x:v>100.95</x:v>
      </x:c>
      <x:c r="W132" s="71" t="n">
        <x:v>10.22429696</x:v>
      </x:c>
      <x:c r="X132" s="71" t="n">
        <x:v>1.76569424</x:v>
      </x:c>
      <x:c r="Y132" s="68" t="n">
        <x:v>0.0788</x:v>
      </x:c>
      <x:c r="Z132" s="68" t="n">
        <x:v>0.5028</x:v>
      </x:c>
      <x:c r="AA132" s="68" t="n">
        <x:v>0.1211</x:v>
      </x:c>
      <x:c r="AB132" s="68" t="n">
        <x:v>5.12181270977018</x:v>
      </x:c>
      <x:c r="AC132" s="68" t="n">
        <x:v>0.1535</x:v>
      </x:c>
      <x:c r="AD132" s="60" t="str">
        <x:v>行业地位 87、成长稳定 86</x:v>
      </x:c>
      <x:c r="AE132" s="60" t="str">
        <x:v>现金流 76、稳健性 79</x:v>
      </x:c>
    </x:row>
    <x:row r="133" ht="39.599998474121094" hidden="0" customHeight="1">
      <x:c r="A133" s="60" t="str">
        <x:v>历史低估关注</x:v>
      </x:c>
      <x:c r="B133" s="66" t="str">
        <x:v>000544.SZ</x:v>
      </x:c>
      <x:c r="C133" s="60" t="str">
        <x:v>中原环保</x:v>
      </x:c>
      <x:c r="D133" s="60" t="str">
        <x:v>环保</x:v>
      </x:c>
      <x:c r="E133" s="60" t="str">
        <x:v>环境治理</x:v>
      </x:c>
      <x:c r="F133" s="60" t="str">
        <x:v>水治理</x:v>
      </x:c>
      <x:c r="G133" s="61" t="n">
        <x:v>2</x:v>
      </x:c>
      <x:c r="H133" s="67" t="n">
        <x:v>83.105</x:v>
      </x:c>
      <x:c r="I133" s="68" t="n">
        <x:v>1</x:v>
      </x:c>
      <x:c r="J133" s="69" t="str">
        <x:v>历史偏低位</x:v>
      </x:c>
      <x:c r="K133" s="69" t="str">
        <x:v>完整</x:v>
      </x:c>
      <x:c r="L133" s="69" t="str">
        <x:v>2026-08-19</x:v>
      </x:c>
      <x:c r="M133" s="69" t="str">
        <x:v>2026-08-24</x:v>
      </x:c>
      <x:c r="N133" s="70" t="n">
        <x:v>7.24</x:v>
      </x:c>
      <x:c r="O133" s="70" t="n">
        <x:v>6.6338</x:v>
      </x:c>
      <x:c r="P133" s="68" t="n">
        <x:v>0.0392</x:v>
      </x:c>
      <x:c r="Q133" s="70" t="n">
        <x:v>0.6187</x:v>
      </x:c>
      <x:c r="R133" s="68" t="n">
        <x:v>0.0131</x:v>
      </x:c>
      <x:c r="S133" s="68" t="n">
        <x:v>0.037293</x:v>
      </x:c>
      <x:c r="T133" s="68" t="n">
        <x:v>0.3097</x:v>
      </x:c>
      <x:c r="U133" s="68" t="n">
        <x:v>0.1207</x:v>
      </x:c>
      <x:c r="V133" s="71" t="n">
        <x:v>69.88</x:v>
      </x:c>
      <x:c r="W133" s="71" t="n">
        <x:v>16.40061952</x:v>
      </x:c>
      <x:c r="X133" s="71" t="n">
        <x:v>0.48531384</x:v>
      </x:c>
      <x:c r="Y133" s="68" t="n">
        <x:v>0.1189</x:v>
      </x:c>
      <x:c r="Z133" s="68" t="n">
        <x:v>0.4681</x:v>
      </x:c>
      <x:c r="AA133" s="68" t="n">
        <x:v>0.19760000000000003</x:v>
      </x:c>
      <x:c r="AB133" s="68" t="n">
        <x:v>19.01223175502269</x:v>
      </x:c>
      <x:c r="AC133" s="68" t="n">
        <x:v>0.7343000000000001</x:v>
      </x:c>
      <x:c r="AD133" s="60" t="str">
        <x:v>同行估值 98、盈利能力 92</x:v>
      </x:c>
      <x:c r="AE133" s="60" t="str">
        <x:v>稳健性 57、现金流 69</x:v>
      </x:c>
    </x:row>
    <x:row r="134" ht="39.599998474121094" hidden="0" customHeight="1">
      <x:c r="A134" s="60" t="str">
        <x:v>历史低估关注</x:v>
      </x:c>
      <x:c r="B134" s="66" t="str">
        <x:v>300832.SZ</x:v>
      </x:c>
      <x:c r="C134" s="60" t="str">
        <x:v>新产业</x:v>
      </x:c>
      <x:c r="D134" s="60" t="str">
        <x:v>医药医疗</x:v>
      </x:c>
      <x:c r="E134" s="60" t="str">
        <x:v>生物制品</x:v>
      </x:c>
      <x:c r="F134" s="60" t="str">
        <x:v>诊断试剂</x:v>
      </x:c>
      <x:c r="G134" s="61" t="n">
        <x:v>1</x:v>
      </x:c>
      <x:c r="H134" s="67" t="n">
        <x:v>82.5986</x:v>
      </x:c>
      <x:c r="I134" s="68" t="n">
        <x:v>1</x:v>
      </x:c>
      <x:c r="J134" s="69" t="str">
        <x:v>历史偏低位</x:v>
      </x:c>
      <x:c r="K134" s="69" t="str">
        <x:v>完整</x:v>
      </x:c>
      <x:c r="L134" s="69" t="str">
        <x:v>2026-08-19</x:v>
      </x:c>
      <x:c r="M134" s="69" t="str">
        <x:v>2026-08-24</x:v>
      </x:c>
      <x:c r="N134" s="70" t="n">
        <x:v>53.66</x:v>
      </x:c>
      <x:c r="O134" s="70" t="n">
        <x:v>25.9499</x:v>
      </x:c>
      <x:c r="P134" s="68" t="n">
        <x:v>0.2218</x:v>
      </x:c>
      <x:c r="Q134" s="70" t="n">
        <x:v>4.4443</x:v>
      </x:c>
      <x:c r="R134" s="68" t="n">
        <x:v>0.0805</x:v>
      </x:c>
      <x:c r="S134" s="68" t="n">
        <x:v>0.022363</x:v>
      </x:c>
      <x:c r="T134" s="68" t="n">
        <x:v>0.2863</x:v>
      </x:c>
      <x:c r="U134" s="68" t="n">
        <x:v>0.1962</x:v>
      </x:c>
      <x:c r="V134" s="71" t="n">
        <x:v>404.41</x:v>
      </x:c>
      <x:c r="W134" s="71" t="n">
        <x:v>11.4913984</x:v>
      </x:c>
      <x:c r="X134" s="71" t="n">
        <x:v>4.15449568</x:v>
      </x:c>
      <x:c r="Y134" s="68" t="n">
        <x:v>0.1843</x:v>
      </x:c>
      <x:c r="Z134" s="68" t="n">
        <x:v>0.6925</x:v>
      </x:c>
      <x:c r="AA134" s="68" t="n">
        <x:v>0.354</x:v>
      </x:c>
      <x:c r="AB134" s="68" t="n">
        <x:v>1.1028697278606872</x:v>
      </x:c>
      <x:c r="AC134" s="68" t="n">
        <x:v>0.0801</x:v>
      </x:c>
      <x:c r="AD134" s="60" t="str">
        <x:v>行业地位 100、成长稳定 94</x:v>
      </x:c>
      <x:c r="AE134" s="60" t="str">
        <x:v>同行估值 53、现金流 67</x:v>
      </x:c>
    </x:row>
    <x:row r="135" ht="39.599998474121094" hidden="0" customHeight="1">
      <x:c r="A135" s="60" t="str">
        <x:v>历史低估关注</x:v>
      </x:c>
      <x:c r="B135" s="66" t="str">
        <x:v>002415.SZ</x:v>
      </x:c>
      <x:c r="C135" s="60" t="str">
        <x:v>海康威视</x:v>
      </x:c>
      <x:c r="D135" s="60" t="str">
        <x:v>计算机</x:v>
      </x:c>
      <x:c r="E135" s="60" t="str">
        <x:v>IT设备</x:v>
      </x:c>
      <x:c r="F135" s="60" t="str">
        <x:v>安防设备</x:v>
      </x:c>
      <x:c r="G135" s="61" t="n">
        <x:v>2</x:v>
      </x:c>
      <x:c r="H135" s="67" t="n">
        <x:v>82.5022</x:v>
      </x:c>
      <x:c r="I135" s="68" t="n">
        <x:v>1</x:v>
      </x:c>
      <x:c r="J135" s="69" t="str">
        <x:v>历史偏低位</x:v>
      </x:c>
      <x:c r="K135" s="69" t="str">
        <x:v>完整</x:v>
      </x:c>
      <x:c r="L135" s="69" t="str">
        <x:v>2026-08-19</x:v>
      </x:c>
      <x:c r="M135" s="69" t="str">
        <x:v>2026-08-24</x:v>
      </x:c>
      <x:c r="N135" s="70" t="n">
        <x:v>33.89</x:v>
      </x:c>
      <x:c r="O135" s="70" t="n">
        <x:v>18.9</x:v>
      </x:c>
      <x:c r="P135" s="68" t="n">
        <x:v>0.12210000000000001</x:v>
      </x:c>
      <x:c r="Q135" s="70" t="n">
        <x:v>3.6824</x:v>
      </x:c>
      <x:c r="R135" s="68" t="n">
        <x:v>0.2953</x:v>
      </x:c>
      <x:c r="S135" s="68" t="n">
        <x:v>0.050162000000000005</x:v>
      </x:c>
      <x:c r="T135" s="68" t="n">
        <x:v>0.0053</x:v>
      </x:c>
      <x:c r="U135" s="68" t="n">
        <x:v>0.1409</x:v>
      </x:c>
      <x:c r="V135" s="71" t="n">
        <x:v>3129.8</x:v>
      </x:c>
      <x:c r="W135" s="71" t="n">
        <x:v>267.5001344</x:v>
      </x:c>
      <x:c r="X135" s="71" t="n">
        <x:v>48.7624704</x:v>
      </x:c>
      <x:c r="Y135" s="68" t="n">
        <x:v>0.17300000000000001</x:v>
      </x:c>
      <x:c r="Z135" s="68" t="n">
        <x:v>0.45880000000000004</x:v>
      </x:c>
      <x:c r="AA135" s="68" t="n">
        <x:v>0.1668</x:v>
      </x:c>
      <x:c r="AB135" s="68" t="n">
        <x:v>2.3875702441851674</x:v>
      </x:c>
      <x:c r="AC135" s="68" t="n">
        <x:v>0.3392</x:v>
      </x:c>
      <x:c r="AD135" s="60" t="str">
        <x:v>行业地位 100、盈利能力 84</x:v>
      </x:c>
      <x:c r="AE135" s="60" t="str">
        <x:v>稳健性 56、同行估值 70</x:v>
      </x:c>
    </x:row>
    <x:row r="136" ht="39.599998474121094" hidden="0" customHeight="1">
      <x:c r="A136" s="60" t="str">
        <x:v>历史低估关注</x:v>
      </x:c>
      <x:c r="B136" s="66" t="str">
        <x:v>603816.SH</x:v>
      </x:c>
      <x:c r="C136" s="60" t="str">
        <x:v>顾家家居</x:v>
      </x:c>
      <x:c r="D136" s="60" t="str">
        <x:v>轻工制造</x:v>
      </x:c>
      <x:c r="E136" s="60" t="str">
        <x:v>家居用品</x:v>
      </x:c>
      <x:c r="F136" s="60" t="str">
        <x:v>家具</x:v>
      </x:c>
      <x:c r="G136" s="61" t="n">
        <x:v>1</x:v>
      </x:c>
      <x:c r="H136" s="67" t="n">
        <x:v>81.8814</x:v>
      </x:c>
      <x:c r="I136" s="68" t="n">
        <x:v>1</x:v>
      </x:c>
      <x:c r="J136" s="69" t="str">
        <x:v>历史偏低位</x:v>
      </x:c>
      <x:c r="K136" s="69" t="str">
        <x:v>完整</x:v>
      </x:c>
      <x:c r="L136" s="69" t="str">
        <x:v>2026-08-19</x:v>
      </x:c>
      <x:c r="M136" s="69" t="str">
        <x:v>2026-08-24</x:v>
      </x:c>
      <x:c r="N136" s="70" t="n">
        <x:v>24.4</x:v>
      </x:c>
      <x:c r="O136" s="70" t="n">
        <x:v>12.7815</x:v>
      </x:c>
      <x:c r="P136" s="68" t="n">
        <x:v>0.1698</x:v>
      </x:c>
      <x:c r="Q136" s="70" t="n">
        <x:v>2.0378</x:v>
      </x:c>
      <x:c r="R136" s="68" t="n">
        <x:v>0.10279999999999999</x:v>
      </x:c>
      <x:c r="S136" s="68" t="n">
        <x:v>0.056557</x:v>
      </x:c>
      <x:c r="T136" s="68" t="n">
        <x:v>0.08839999999999999</x:v>
      </x:c>
      <x:c r="U136" s="68" t="n">
        <x:v>0.12029999999999999</x:v>
      </x:c>
      <x:c r="V136" s="71" t="n">
        <x:v>229.4</x:v>
      </x:c>
      <x:c r="W136" s="71" t="n">
        <x:v>50.44325888</x:v>
      </x:c>
      <x:c r="X136" s="71" t="n">
        <x:v>2.51514672</x:v>
      </x:c>
      <x:c r="Y136" s="68" t="n">
        <x:v>0.17679999999999998</x:v>
      </x:c>
      <x:c r="Z136" s="68" t="n">
        <x:v>0.3276</x:v>
      </x:c>
      <x:c r="AA136" s="68" t="n">
        <x:v>0.0931</x:v>
      </x:c>
      <x:c r="AB136" s="68" t="n">
        <x:v>3.654459855924429</x:v>
      </x:c>
      <x:c r="AC136" s="68" t="n">
        <x:v>0.4275</x:v>
      </x:c>
      <x:c r="AD136" s="60" t="str">
        <x:v>行业地位 100、盈利能力 86</x:v>
      </x:c>
      <x:c r="AE136" s="60" t="str">
        <x:v>现金流 69、稳健性 70</x:v>
      </x:c>
    </x:row>
    <x:row r="137" ht="39.599998474121094" hidden="0" customHeight="1">
      <x:c r="A137" s="60" t="str">
        <x:v>历史低估关注</x:v>
      </x:c>
      <x:c r="B137" s="66" t="str">
        <x:v>002697.SZ</x:v>
      </x:c>
      <x:c r="C137" s="60" t="str">
        <x:v>红旗连锁</x:v>
      </x:c>
      <x:c r="D137" s="60" t="str">
        <x:v>商贸</x:v>
      </x:c>
      <x:c r="E137" s="60" t="str">
        <x:v>一般零售</x:v>
      </x:c>
      <x:c r="F137" s="60" t="str">
        <x:v>超市及便利店</x:v>
      </x:c>
      <x:c r="G137" s="61" t="n">
        <x:v>1</x:v>
      </x:c>
      <x:c r="H137" s="67" t="n">
        <x:v>81.5833</x:v>
      </x:c>
      <x:c r="I137" s="68" t="n">
        <x:v>1</x:v>
      </x:c>
      <x:c r="J137" s="69" t="str">
        <x:v>历史偏低位</x:v>
      </x:c>
      <x:c r="K137" s="69" t="str">
        <x:v>完整</x:v>
      </x:c>
      <x:c r="L137" s="69" t="str">
        <x:v>2026-08-19</x:v>
      </x:c>
      <x:c r="M137" s="69" t="str">
        <x:v>2026-08-24</x:v>
      </x:c>
      <x:c r="N137" s="70" t="n">
        <x:v>4.5</x:v>
      </x:c>
      <x:c r="O137" s="70" t="n">
        <x:v>13.1174</x:v>
      </x:c>
      <x:c r="P137" s="68" t="n">
        <x:v>0.2235</x:v>
      </x:c>
      <x:c r="Q137" s="70" t="n">
        <x:v>1.2414</x:v>
      </x:c>
      <x:c r="R137" s="68" t="n">
        <x:v>0.0168</x:v>
      </x:c>
      <x:c r="S137" s="68" t="n">
        <x:v>0.023778</x:v>
      </x:c>
      <x:c r="T137" s="68" t="n">
        <x:v>0.44799999999999995</x:v>
      </x:c>
      <x:c r="U137" s="68" t="n">
        <x:v>0.22940000000000002</x:v>
      </x:c>
      <x:c r="V137" s="71" t="n">
        <x:v>60.79</x:v>
      </x:c>
      <x:c r="W137" s="71" t="n">
        <x:v>24.4722176</x:v>
      </x:c>
      <x:c r="X137" s="71" t="n">
        <x:v>0.97949616</x:v>
      </x:c>
      <x:c r="Y137" s="68" t="n">
        <x:v>0.1042</x:v>
      </x:c>
      <x:c r="Z137" s="68" t="n">
        <x:v>0.29600000000000004</x:v>
      </x:c>
      <x:c r="AA137" s="68" t="n">
        <x:v>0.050300000000000004</x:v>
      </x:c>
      <x:c r="AB137" s="68" t="n">
        <x:v>3.0896910101209585</x:v>
      </x:c>
      <x:c r="AC137" s="68" t="n">
        <x:v>0.4235</x:v>
      </x:c>
      <x:c r="AD137" s="60" t="str">
        <x:v>盈利能力 95、现金流 95</x:v>
      </x:c>
      <x:c r="AE137" s="60" t="str">
        <x:v>成长稳定 63、行业地位 70</x:v>
      </x:c>
    </x:row>
    <x:row r="138" ht="39.599998474121094" hidden="0" customHeight="1">
      <x:c r="A138" s="60" t="str">
        <x:v>历史低估关注</x:v>
      </x:c>
      <x:c r="B138" s="66" t="str">
        <x:v>301061.SZ</x:v>
      </x:c>
      <x:c r="C138" s="60" t="str">
        <x:v>匠心家居</x:v>
      </x:c>
      <x:c r="D138" s="60" t="str">
        <x:v>轻工制造</x:v>
      </x:c>
      <x:c r="E138" s="60" t="str">
        <x:v>家居用品</x:v>
      </x:c>
      <x:c r="F138" s="60" t="str">
        <x:v>家具</x:v>
      </x:c>
      <x:c r="G138" s="61" t="n">
        <x:v>2</x:v>
      </x:c>
      <x:c r="H138" s="67" t="n">
        <x:v>81.5415</x:v>
      </x:c>
      <x:c r="I138" s="68" t="n">
        <x:v>1</x:v>
      </x:c>
      <x:c r="J138" s="69" t="str">
        <x:v>历史偏低位</x:v>
      </x:c>
      <x:c r="K138" s="69" t="str">
        <x:v>完整</x:v>
      </x:c>
      <x:c r="L138" s="69" t="str">
        <x:v>2026-08-19</x:v>
      </x:c>
      <x:c r="M138" s="69" t="str">
        <x:v>2026-08-24</x:v>
      </x:c>
      <x:c r="N138" s="70" t="n">
        <x:v>35.08</x:v>
      </x:c>
      <x:c r="O138" s="70" t="n">
        <x:v>12.0229</x:v>
      </x:c>
      <x:c r="P138" s="68" t="n">
        <x:v>0.0582</x:v>
      </x:c>
      <x:c r="Q138" s="70" t="n">
        <x:v>2.2879</x:v>
      </x:c>
      <x:c r="R138" s="68" t="n">
        <x:v>0.4485</x:v>
      </x:c>
      <x:c r="S138" s="68" t="n">
        <x:v>0.028506</x:v>
      </x:c>
      <x:c r="T138" s="68" t="n">
        <x:v>0.2652</x:v>
      </x:c>
      <x:c r="U138" s="68" t="n">
        <x:v>0.25730000000000003</x:v>
      </x:c>
      <x:c r="V138" s="71" t="n">
        <x:v>98.29</x:v>
      </x:c>
      <x:c r="W138" s="71" t="n">
        <x:v>8.67660032</x:v>
      </x:c>
      <x:c r="X138" s="71" t="n">
        <x:v>1.99945136</x:v>
      </x:c>
      <x:c r="Y138" s="68" t="n">
        <x:v>0.21960000000000002</x:v>
      </x:c>
      <x:c r="Z138" s="68" t="n">
        <x:v>0.39289999999999997</x:v>
      </x:c>
      <x:c r="AA138" s="68" t="n">
        <x:v>0.25379999999999997</x:v>
      </x:c>
      <x:c r="AB138" s="68" t="n">
        <x:v>1.16192001789931</x:v>
      </x:c>
      <x:c r="AC138" s="68" t="n">
        <x:v>0.22510000000000002</x:v>
      </x:c>
      <x:c r="AD138" s="60" t="str">
        <x:v>盈利能力 98、成长稳定 93</x:v>
      </x:c>
      <x:c r="AE138" s="60" t="str">
        <x:v>现金流 67、同行估值 69</x:v>
      </x:c>
    </x:row>
    <x:row r="139" ht="39.599998474121094" hidden="0" customHeight="1">
      <x:c r="A139" s="60" t="str">
        <x:v>历史低估关注</x:v>
      </x:c>
      <x:c r="B139" s="66" t="str">
        <x:v>603444.SH</x:v>
      </x:c>
      <x:c r="C139" s="60" t="str">
        <x:v>吉比特</x:v>
      </x:c>
      <x:c r="D139" s="60" t="str">
        <x:v>传媒</x:v>
      </x:c>
      <x:c r="E139" s="60" t="str">
        <x:v>游戏</x:v>
      </x:c>
      <x:c r="F139" s="60" t="str">
        <x:v>游戏</x:v>
      </x:c>
      <x:c r="G139" s="61" t="n">
        <x:v>1</x:v>
      </x:c>
      <x:c r="H139" s="67" t="n">
        <x:v>81.5208</x:v>
      </x:c>
      <x:c r="I139" s="68" t="n">
        <x:v>1</x:v>
      </x:c>
      <x:c r="J139" s="69" t="str">
        <x:v>历史偏低位</x:v>
      </x:c>
      <x:c r="K139" s="69" t="str">
        <x:v>完整</x:v>
      </x:c>
      <x:c r="L139" s="69" t="str">
        <x:v>2026-08-19</x:v>
      </x:c>
      <x:c r="M139" s="69" t="str">
        <x:v>2026-08-24</x:v>
      </x:c>
      <x:c r="N139" s="70" t="n">
        <x:v>384.79</x:v>
      </x:c>
      <x:c r="O139" s="70" t="n">
        <x:v>13.6696</x:v>
      </x:c>
      <x:c r="P139" s="68" t="n">
        <x:v>0.1795</x:v>
      </x:c>
      <x:c r="Q139" s="70" t="n">
        <x:v>4.6159</x:v>
      </x:c>
      <x:c r="R139" s="68" t="n">
        <x:v>0.3908</x:v>
      </x:c>
      <x:c r="S139" s="68" t="n">
        <x:v>0.050937</x:v>
      </x:c>
      <x:c r="T139" s="68" t="n">
        <x:v>0.2532</x:v>
      </x:c>
      <x:c r="U139" s="68" t="n">
        <x:v>0.27449999999999997</x:v>
      </x:c>
      <x:c r="V139" s="71" t="n">
        <x:v>274.35</x:v>
      </x:c>
      <x:c r="W139" s="71" t="n">
        <x:v>17.1888064</x:v>
      </x:c>
      <x:c r="X139" s="71" t="n">
        <x:v>5.79530304</x:v>
      </x:c>
      <x:c r="Y139" s="68" t="n">
        <x:v>0.33270000000000005</x:v>
      </x:c>
      <x:c r="Z139" s="68" t="n">
        <x:v>0.9390000000000001</x:v>
      </x:c>
      <x:c r="AA139" s="68" t="n">
        <x:v>0.3458</x:v>
      </x:c>
      <x:c r="AB139" s="68" t="n">
        <x:v>1.6165040025240853</x:v>
      </x:c>
      <x:c r="AC139" s="68" t="n">
        <x:v>0.2416</x:v>
      </x:c>
      <x:c r="AD139" s="60" t="str">
        <x:v>盈利能力 98、行业地位 85</x:v>
      </x:c>
      <x:c r="AE139" s="60" t="str">
        <x:v>稳健性 51、同行估值 76</x:v>
      </x:c>
    </x:row>
    <x:row r="140" ht="39.599998474121094" hidden="0" customHeight="1">
      <x:c r="A140" s="60" t="str">
        <x:v>历史低估关注</x:v>
      </x:c>
      <x:c r="B140" s="66" t="str">
        <x:v>600211.SH</x:v>
      </x:c>
      <x:c r="C140" s="60" t="str">
        <x:v>西藏药业</x:v>
      </x:c>
      <x:c r="D140" s="60" t="str">
        <x:v>医药医疗</x:v>
      </x:c>
      <x:c r="E140" s="60" t="str">
        <x:v>生物制品</x:v>
      </x:c>
      <x:c r="F140" s="60" t="str">
        <x:v>其他生物制药</x:v>
      </x:c>
      <x:c r="G140" s="61" t="n">
        <x:v>2</x:v>
      </x:c>
      <x:c r="H140" s="67" t="n">
        <x:v>81.4731</x:v>
      </x:c>
      <x:c r="I140" s="68" t="n">
        <x:v>1</x:v>
      </x:c>
      <x:c r="J140" s="69" t="str">
        <x:v>历史偏低位</x:v>
      </x:c>
      <x:c r="K140" s="69" t="str">
        <x:v>完整</x:v>
      </x:c>
      <x:c r="L140" s="69" t="str">
        <x:v>2026-08-19</x:v>
      </x:c>
      <x:c r="M140" s="69" t="str">
        <x:v>2026-08-24</x:v>
      </x:c>
      <x:c r="N140" s="70" t="n">
        <x:v>38.05</x:v>
      </x:c>
      <x:c r="O140" s="70" t="n">
        <x:v>12.6781</x:v>
      </x:c>
      <x:c r="P140" s="68" t="n">
        <x:v>0.09939999999999999</x:v>
      </x:c>
      <x:c r="Q140" s="70" t="n">
        <x:v>3.1447</x:v>
      </x:c>
      <x:c r="R140" s="68" t="n">
        <x:v>0.2368</x:v>
      </x:c>
      <x:c r="S140" s="68" t="n">
        <x:v>0.046176</x:v>
      </x:c>
      <x:c r="T140" s="68" t="n">
        <x:v>0.2228</x:v>
      </x:c>
      <x:c r="U140" s="68" t="n">
        <x:v>0.1863</x:v>
      </x:c>
      <x:c r="V140" s="71" t="n">
        <x:v>123</x:v>
      </x:c>
      <x:c r="W140" s="71" t="n">
        <x:v>8.92267328</x:v>
      </x:c>
      <x:c r="X140" s="71" t="n">
        <x:v>2.16154224</x:v>
      </x:c>
      <x:c r="Y140" s="68" t="n">
        <x:v>0.2698</x:v>
      </x:c>
      <x:c r="Z140" s="68" t="n">
        <x:v>0.9422</x:v>
      </x:c>
      <x:c r="AA140" s="68" t="n">
        <x:v>0.30760000000000004</x:v>
      </x:c>
      <x:c r="AB140" s="68" t="n">
        <x:v>1.3494341336581976</x:v>
      </x:c>
      <x:c r="AC140" s="68" t="n">
        <x:v>0.3398</x:v>
      </x:c>
      <x:c r="AD140" s="60" t="str">
        <x:v>盈利能力 95、同行估值 92</x:v>
      </x:c>
      <x:c r="AE140" s="60" t="str">
        <x:v>现金流 67、稳健性 68</x:v>
      </x:c>
    </x:row>
    <x:row r="141" ht="39.599998474121094" hidden="0" customHeight="1">
      <x:c r="A141" s="60" t="str">
        <x:v>历史低估关注</x:v>
      </x:c>
      <x:c r="B141" s="66" t="str">
        <x:v>600660.SH</x:v>
      </x:c>
      <x:c r="C141" s="60" t="str">
        <x:v>福耀玻璃</x:v>
      </x:c>
      <x:c r="D141" s="60" t="str">
        <x:v>汽车</x:v>
      </x:c>
      <x:c r="E141" s="60" t="str">
        <x:v>汽车零部件</x:v>
      </x:c>
      <x:c r="F141" s="60" t="str">
        <x:v>车身附件及饰件</x:v>
      </x:c>
      <x:c r="G141" s="61" t="n">
        <x:v>1</x:v>
      </x:c>
      <x:c r="H141" s="67" t="n">
        <x:v>81.2815</x:v>
      </x:c>
      <x:c r="I141" s="68" t="n">
        <x:v>1</x:v>
      </x:c>
      <x:c r="J141" s="69" t="str">
        <x:v>历史偏低位</x:v>
      </x:c>
      <x:c r="K141" s="69" t="str">
        <x:v>完整</x:v>
      </x:c>
      <x:c r="L141" s="69" t="str">
        <x:v>2026-08-19</x:v>
      </x:c>
      <x:c r="M141" s="69" t="str">
        <x:v>2026-08-24</x:v>
      </x:c>
      <x:c r="N141" s="70" t="n">
        <x:v>57.9</x:v>
      </x:c>
      <x:c r="O141" s="70" t="n">
        <x:v>16.8004</x:v>
      </x:c>
      <x:c r="P141" s="68" t="n">
        <x:v>0.0703</x:v>
      </x:c>
      <x:c r="Q141" s="70" t="n">
        <x:v>3.8605</x:v>
      </x:c>
      <x:c r="R141" s="68" t="n">
        <x:v>0.4764</x:v>
      </x:c>
      <x:c r="S141" s="68" t="n">
        <x:v>0.036269</x:v>
      </x:c>
      <x:c r="T141" s="68" t="n">
        <x:v>0.21230000000000002</x:v>
      </x:c>
      <x:c r="U141" s="68" t="n">
        <x:v>0.253</x:v>
      </x:c>
      <x:c r="V141" s="71" t="n">
        <x:v>1474.24</x:v>
      </x:c>
      <x:c r="W141" s="71" t="n">
        <x:v>124.85527552</x:v>
      </x:c>
      <x:c r="X141" s="71" t="n">
        <x:v>22.48450048</x:v>
      </x:c>
      <x:c r="Y141" s="68" t="n">
        <x:v>0.2556</x:v>
      </x:c>
      <x:c r="Z141" s="68" t="n">
        <x:v>0.37270000000000003</x:v>
      </x:c>
      <x:c r="AA141" s="68" t="n">
        <x:v>0.20350000000000001</x:v>
      </x:c>
      <x:c r="AB141" s="68" t="n">
        <x:v>0.9653142750183082</x:v>
      </x:c>
      <x:c r="AC141" s="68" t="n">
        <x:v>0.46399999999999997</x:v>
      </x:c>
      <x:c r="AD141" s="60" t="str">
        <x:v>行业地位 99、盈利能力 98</x:v>
      </x:c>
      <x:c r="AE141" s="60" t="str">
        <x:v>现金流 55、同行估值 63</x:v>
      </x:c>
    </x:row>
    <x:row r="142" ht="39.599998474121094" hidden="0" customHeight="1">
      <x:c r="A142" s="60" t="str">
        <x:v>历史低估关注</x:v>
      </x:c>
      <x:c r="B142" s="66" t="str">
        <x:v>000733.SZ</x:v>
      </x:c>
      <x:c r="C142" s="60" t="str">
        <x:v>振华科技</x:v>
      </x:c>
      <x:c r="D142" s="60" t="str">
        <x:v>国防军工</x:v>
      </x:c>
      <x:c r="E142" s="60" t="str">
        <x:v>军工电子</x:v>
      </x:c>
      <x:c r="F142" s="60" t="str">
        <x:v>军工电子</x:v>
      </x:c>
      <x:c r="G142" s="61" t="n">
        <x:v>1</x:v>
      </x:c>
      <x:c r="H142" s="67" t="n">
        <x:v>81.0054</x:v>
      </x:c>
      <x:c r="I142" s="68" t="n">
        <x:v>1</x:v>
      </x:c>
      <x:c r="J142" s="69" t="str">
        <x:v>历史偏低位</x:v>
      </x:c>
      <x:c r="K142" s="69" t="str">
        <x:v>完整</x:v>
      </x:c>
      <x:c r="L142" s="69" t="str">
        <x:v>2026-08-19</x:v>
      </x:c>
      <x:c r="M142" s="69" t="str">
        <x:v>2026-08-24</x:v>
      </x:c>
      <x:c r="N142" s="70" t="n">
        <x:v>38.85</x:v>
      </x:c>
      <x:c r="O142" s="70" t="n">
        <x:v>21.906</x:v>
      </x:c>
      <x:c r="P142" s="68" t="n">
        <x:v>0.3909</x:v>
      </x:c>
      <x:c r="Q142" s="70" t="n">
        <x:v>1.366</x:v>
      </x:c>
      <x:c r="R142" s="68" t="n">
        <x:v>0.011000000000000001</x:v>
      </x:c>
      <x:c r="S142" s="68" t="n">
        <x:v>0.009781</x:v>
      </x:c>
      <x:c r="T142" s="68" t="n">
        <x:v>0.4029</x:v>
      </x:c>
      <x:c r="U142" s="68" t="n">
        <x:v>0.2683</x:v>
      </x:c>
      <x:c r="V142" s="71" t="n">
        <x:v>216.68</x:v>
      </x:c>
      <x:c r="W142" s="71" t="n">
        <x:v>18.28993408</x:v>
      </x:c>
      <x:c r="X142" s="71" t="n">
        <x:v>4.02237632</x:v>
      </x:c>
      <x:c r="Y142" s="68" t="n">
        <x:v>0.0674</x:v>
      </x:c>
      <x:c r="Z142" s="68" t="n">
        <x:v>0.4595</x:v>
      </x:c>
      <x:c r="AA142" s="68" t="n">
        <x:v>0.1782</x:v>
      </x:c>
      <x:c r="AB142" s="68" t="n">
        <x:v>1.8701131573885161</x:v>
      </x:c>
      <x:c r="AC142" s="68" t="n">
        <x:v>0.1834</x:v>
      </x:c>
      <x:c r="AD142" s="60" t="str">
        <x:v>同行估值 98、行业地位 89</x:v>
      </x:c>
      <x:c r="AE142" s="60" t="str">
        <x:v>现金流 64、稳健性 69</x:v>
      </x:c>
    </x:row>
    <x:row r="143" ht="39.599998474121094" hidden="0" customHeight="1">
      <x:c r="A143" s="60" t="str">
        <x:v>历史低估关注</x:v>
      </x:c>
      <x:c r="B143" s="66" t="str">
        <x:v>600007.SH</x:v>
      </x:c>
      <x:c r="C143" s="60" t="str">
        <x:v>中国国贸</x:v>
      </x:c>
      <x:c r="D143" s="60" t="str">
        <x:v>房地产</x:v>
      </x:c>
      <x:c r="E143" s="60" t="str">
        <x:v>房地产开发</x:v>
      </x:c>
      <x:c r="F143" s="60" t="str">
        <x:v>商业地产</x:v>
      </x:c>
      <x:c r="G143" s="61" t="n">
        <x:v>1</x:v>
      </x:c>
      <x:c r="H143" s="67" t="n">
        <x:v>80.9</x:v>
      </x:c>
      <x:c r="I143" s="68" t="n">
        <x:v>1</x:v>
      </x:c>
      <x:c r="J143" s="69" t="str">
        <x:v>历史偏低位</x:v>
      </x:c>
      <x:c r="K143" s="69" t="str">
        <x:v>完整</x:v>
      </x:c>
      <x:c r="L143" s="69" t="str">
        <x:v>2026-08-19</x:v>
      </x:c>
      <x:c r="M143" s="69" t="str">
        <x:v>2026-08-24</x:v>
      </x:c>
      <x:c r="N143" s="70" t="n">
        <x:v>18.91</x:v>
      </x:c>
      <x:c r="O143" s="70" t="n">
        <x:v>15.922</x:v>
      </x:c>
      <x:c r="P143" s="68" t="n">
        <x:v>0.3547</x:v>
      </x:c>
      <x:c r="Q143" s="70" t="n">
        <x:v>1.8948</x:v>
      </x:c>
      <x:c r="R143" s="68" t="n">
        <x:v>0.284</x:v>
      </x:c>
      <x:c r="S143" s="68" t="n">
        <x:v>0.056584</x:v>
      </x:c>
      <x:c r="T143" s="68" t="n">
        <x:v>0.1446</x:v>
      </x:c>
      <x:c r="U143" s="68" t="n">
        <x:v>0.2611</x:v>
      </x:c>
      <x:c r="V143" s="71" t="n">
        <x:v>191.38</x:v>
      </x:c>
      <x:c r="W143" s="71" t="n">
        <x:v>9.49100352</x:v>
      </x:c>
      <x:c r="X143" s="71" t="n">
        <x:v>2.6196896</x:v>
      </x:c>
      <x:c r="Y143" s="68" t="n">
        <x:v>0.1264</x:v>
      </x:c>
      <x:c r="Z143" s="68" t="n">
        <x:v>0.5771999999999999</x:v>
      </x:c>
      <x:c r="AA143" s="68" t="n">
        <x:v>0.3191</x:v>
      </x:c>
      <x:c r="AB143" s="68" t="n">
        <x:v>0.8277149170649836</x:v>
      </x:c>
      <x:c r="AC143" s="68" t="n">
        <x:v>0.1485</x:v>
      </x:c>
      <x:c r="AD143" s="60" t="str">
        <x:v>盈利能力 100、成长稳定 98</x:v>
      </x:c>
      <x:c r="AE143" s="60" t="str">
        <x:v>稳健性 58、现金流 70</x:v>
      </x:c>
    </x:row>
    <x:row r="144" ht="39.599998474121094" hidden="0" customHeight="1">
      <x:c r="A144" s="60" t="str">
        <x:v>历史低估关注</x:v>
      </x:c>
      <x:c r="B144" s="66" t="str">
        <x:v>603659.SH</x:v>
      </x:c>
      <x:c r="C144" s="60" t="str">
        <x:v>璞泰来</x:v>
      </x:c>
      <x:c r="D144" s="60" t="str">
        <x:v>电力设备</x:v>
      </x:c>
      <x:c r="E144" s="60" t="str">
        <x:v>电池</x:v>
      </x:c>
      <x:c r="F144" s="60" t="str">
        <x:v>电池化学品</x:v>
      </x:c>
      <x:c r="G144" s="61" t="n">
        <x:v>2</x:v>
      </x:c>
      <x:c r="H144" s="67" t="n">
        <x:v>80.7456</x:v>
      </x:c>
      <x:c r="I144" s="68" t="n">
        <x:v>1</x:v>
      </x:c>
      <x:c r="J144" s="69" t="str">
        <x:v>历史偏低位</x:v>
      </x:c>
      <x:c r="K144" s="69" t="str">
        <x:v>完整</x:v>
      </x:c>
      <x:c r="L144" s="69" t="str">
        <x:v>2026-08-19</x:v>
      </x:c>
      <x:c r="M144" s="69" t="str">
        <x:v>2026-08-24</x:v>
      </x:c>
      <x:c r="N144" s="70" t="n">
        <x:v>24.05</x:v>
      </x:c>
      <x:c r="O144" s="70" t="n">
        <x:v>20.023</x:v>
      </x:c>
      <x:c r="P144" s="68" t="n">
        <x:v>0.1575</x:v>
      </x:c>
      <x:c r="Q144" s="70" t="n">
        <x:v>2.4567</x:v>
      </x:c>
      <x:c r="R144" s="68" t="n">
        <x:v>0.2816</x:v>
      </x:c>
      <x:c r="S144" s="68" t="n">
        <x:v>0.009563</x:v>
      </x:c>
      <x:c r="T144" s="68" t="n">
        <x:v>0.33049999999999996</x:v>
      </x:c>
      <x:c r="U144" s="68" t="n">
        <x:v>0.2565</x:v>
      </x:c>
      <x:c r="V144" s="71" t="n">
        <x:v>523.61</x:v>
      </x:c>
      <x:c r="W144" s="71" t="n">
        <x:v>48.81262592</x:v>
      </x:c>
      <x:c r="X144" s="71" t="n">
        <x:v>6.59197312</x:v>
      </x:c>
      <x:c r="Y144" s="68" t="n">
        <x:v>0.1215</x:v>
      </x:c>
      <x:c r="Z144" s="68" t="n">
        <x:v>0.3172</x:v>
      </x:c>
      <x:c r="AA144" s="68" t="n">
        <x:v>0.16579999999999998</x:v>
      </x:c>
      <x:c r="AB144" s="68" t="n">
        <x:v>1.5606220918570737</x:v>
      </x:c>
      <x:c r="AC144" s="68" t="n">
        <x:v>0.5293</x:v>
      </x:c>
      <x:c r="AD144" s="60" t="str">
        <x:v>盈利能力 97、行业地位 90</x:v>
      </x:c>
      <x:c r="AE144" s="60" t="str">
        <x:v>稳健性 46、成长稳定 69</x:v>
      </x:c>
    </x:row>
    <x:row r="145" ht="39.599998474121094" hidden="0" customHeight="1">
      <x:c r="A145" s="60" t="str">
        <x:v>历史低估关注</x:v>
      </x:c>
      <x:c r="B145" s="66" t="str">
        <x:v>603379.SH</x:v>
      </x:c>
      <x:c r="C145" s="60" t="str">
        <x:v>三美股份</x:v>
      </x:c>
      <x:c r="D145" s="60" t="str">
        <x:v>化工</x:v>
      </x:c>
      <x:c r="E145" s="60" t="str">
        <x:v>化学制品</x:v>
      </x:c>
      <x:c r="F145" s="60" t="str">
        <x:v>氟化工</x:v>
      </x:c>
      <x:c r="G145" s="61" t="n">
        <x:v>1</x:v>
      </x:c>
      <x:c r="H145" s="67" t="n">
        <x:v>79.9306</x:v>
      </x:c>
      <x:c r="I145" s="68" t="n">
        <x:v>1</x:v>
      </x:c>
      <x:c r="J145" s="69" t="str">
        <x:v>历史偏低位</x:v>
      </x:c>
      <x:c r="K145" s="69" t="str">
        <x:v>完整</x:v>
      </x:c>
      <x:c r="L145" s="69" t="str">
        <x:v>2026-08-19</x:v>
      </x:c>
      <x:c r="M145" s="69" t="str">
        <x:v>2026-08-24</x:v>
      </x:c>
      <x:c r="N145" s="70" t="n">
        <x:v>61.53</x:v>
      </x:c>
      <x:c r="O145" s="70" t="n">
        <x:v>17.3385</x:v>
      </x:c>
      <x:c r="P145" s="68" t="n">
        <x:v>0.0271</x:v>
      </x:c>
      <x:c r="Q145" s="70" t="n">
        <x:v>4.3572</x:v>
      </x:c>
      <x:c r="R145" s="68" t="n">
        <x:v>0.7938</x:v>
      </x:c>
      <x:c r="S145" s="68" t="n">
        <x:v>0.024703</x:v>
      </x:c>
      <x:c r="T145" s="68" t="n">
        <x:v>0.0147</x:v>
      </x:c>
      <x:c r="U145" s="68" t="n">
        <x:v>0.2785</x:v>
      </x:c>
      <x:c r="V145" s="71" t="n">
        <x:v>365.68</x:v>
      </x:c>
      <x:c r="W145" s="71" t="n">
        <x:v>14.20495616</x:v>
      </x:c>
      <x:c r="X145" s="71" t="n">
        <x:v>4.70186048</x:v>
      </x:c>
      <x:c r="Y145" s="68" t="n">
        <x:v>0.2813</x:v>
      </x:c>
      <x:c r="Z145" s="68" t="n">
        <x:v>0.506</x:v>
      </x:c>
      <x:c r="AA145" s="68" t="n">
        <x:v>0.34950000000000003</x:v>
      </x:c>
      <x:c r="AB145" s="68" t="n">
        <x:v>1.2760092107199235</x:v>
      </x:c>
      <x:c r="AC145" s="68" t="n">
        <x:v>0.16510000000000002</x:v>
      </x:c>
      <x:c r="AD145" s="60" t="str">
        <x:v>盈利能力 100、现金流 84</x:v>
      </x:c>
      <x:c r="AE145" s="60" t="str">
        <x:v>稳健性 69、成长稳定 69</x:v>
      </x:c>
    </x:row>
    <x:row r="146" ht="39.599998474121094" hidden="0" customHeight="1">
      <x:c r="A146" s="60" t="str">
        <x:v>历史低估关注</x:v>
      </x:c>
      <x:c r="B146" s="66" t="str">
        <x:v>300896.SZ</x:v>
      </x:c>
      <x:c r="C146" s="60" t="str">
        <x:v>爱美客</x:v>
      </x:c>
      <x:c r="D146" s="60" t="str">
        <x:v>医药医疗</x:v>
      </x:c>
      <x:c r="E146" s="60" t="str">
        <x:v>医疗美容</x:v>
      </x:c>
      <x:c r="F146" s="60" t="str">
        <x:v>医美耗材</x:v>
      </x:c>
      <x:c r="G146" s="61" t="n">
        <x:v>1</x:v>
      </x:c>
      <x:c r="H146" s="67" t="n">
        <x:v>79.5</x:v>
      </x:c>
      <x:c r="I146" s="68" t="n">
        <x:v>1</x:v>
      </x:c>
      <x:c r="J146" s="69" t="str">
        <x:v>历史偏低位</x:v>
      </x:c>
      <x:c r="K146" s="69" t="str">
        <x:v>完整</x:v>
      </x:c>
      <x:c r="L146" s="69" t="str">
        <x:v>2026-08-19</x:v>
      </x:c>
      <x:c r="M146" s="69" t="str">
        <x:v>2026-08-24</x:v>
      </x:c>
      <x:c r="N146" s="70" t="n">
        <x:v>94.3</x:v>
      </x:c>
      <x:c r="O146" s="70" t="n">
        <x:v>24.9093</x:v>
      </x:c>
      <x:c r="P146" s="68" t="n">
        <x:v>0.048600000000000004</x:v>
      </x:c>
      <x:c r="Q146" s="70" t="n">
        <x:v>3.6255</x:v>
      </x:c>
      <x:c r="R146" s="68" t="n">
        <x:v>0.0217</x:v>
      </x:c>
      <x:c r="S146" s="68" t="n">
        <x:v>0.021209</x:v>
      </x:c>
      <x:c r="T146" s="68" t="n">
        <x:v>0.2559</x:v>
      </x:c>
      <x:c r="U146" s="68" t="n">
        <x:v>0.10869999999999999</x:v>
      </x:c>
      <x:c r="V146" s="71" t="n">
        <x:v>276.57</x:v>
      </x:c>
      <x:c r="W146" s="71" t="n">
        <x:v>5.876512</x:v>
      </x:c>
      <x:c r="X146" s="71" t="n">
        <x:v>1.97754144</x:v>
      </x:c>
      <x:c r="Y146" s="68" t="n">
        <x:v>0.17010000000000003</x:v>
      </x:c>
      <x:c r="Z146" s="68" t="n">
        <x:v>0.927</x:v>
      </x:c>
      <x:c r="AA146" s="68" t="n">
        <x:v>0.5307</x:v>
      </x:c>
      <x:c r="AB146" s="68" t="n">
        <x:v>1.2725735244263705</x:v>
      </x:c>
      <x:c r="AC146" s="68" t="n">
        <x:v>0.08349999999999999</x:v>
      </x:c>
      <x:c r="AD146" s="60" t="str">
        <x:v>稳健性 100、行业地位 85</x:v>
      </x:c>
      <x:c r="AE146" s="60" t="str">
        <x:v>现金流 65、同行估值 65</x:v>
      </x:c>
    </x:row>
    <x:row r="147" ht="39.599998474121094" hidden="0" customHeight="1">
      <x:c r="A147" s="60" t="str">
        <x:v>历史低估关注</x:v>
      </x:c>
      <x:c r="B147" s="66" t="str">
        <x:v>603365.SH</x:v>
      </x:c>
      <x:c r="C147" s="60" t="str">
        <x:v>水星家纺</x:v>
      </x:c>
      <x:c r="D147" s="60" t="str">
        <x:v>纺织服饰</x:v>
      </x:c>
      <x:c r="E147" s="60" t="str">
        <x:v>服装家纺</x:v>
      </x:c>
      <x:c r="F147" s="60" t="str">
        <x:v>家纺</x:v>
      </x:c>
      <x:c r="G147" s="61" t="n">
        <x:v>1</x:v>
      </x:c>
      <x:c r="H147" s="67" t="n">
        <x:v>79.4643</x:v>
      </x:c>
      <x:c r="I147" s="68" t="n">
        <x:v>1</x:v>
      </x:c>
      <x:c r="J147" s="69" t="str">
        <x:v>历史偏低位</x:v>
      </x:c>
      <x:c r="K147" s="69" t="str">
        <x:v>完整</x:v>
      </x:c>
      <x:c r="L147" s="69" t="str">
        <x:v>2026-08-19</x:v>
      </x:c>
      <x:c r="M147" s="69" t="str">
        <x:v>2026-08-24</x:v>
      </x:c>
      <x:c r="N147" s="70" t="n">
        <x:v>17.26</x:v>
      </x:c>
      <x:c r="O147" s="70" t="n">
        <x:v>10.7319</x:v>
      </x:c>
      <x:c r="P147" s="68" t="n">
        <x:v>0.1913</x:v>
      </x:c>
      <x:c r="Q147" s="70" t="n">
        <x:v>1.3985</x:v>
      </x:c>
      <x:c r="R147" s="68" t="n">
        <x:v>0.3452</x:v>
      </x:c>
      <x:c r="S147" s="68" t="n">
        <x:v>0.057937</x:v>
      </x:c>
      <x:c r="T147" s="68" t="n">
        <x:v>0.1494</x:v>
      </x:c>
      <x:c r="U147" s="68" t="n">
        <x:v>0.2286</x:v>
      </x:c>
      <x:c r="V147" s="71" t="n">
        <x:v>45.57</x:v>
      </x:c>
      <x:c r="W147" s="71" t="n">
        <x:v>15.52771584</x:v>
      </x:c>
      <x:c r="X147" s="71" t="n">
        <x:v>1.74606208</x:v>
      </x:c>
      <x:c r="Y147" s="68" t="n">
        <x:v>0.1331</x:v>
      </x:c>
      <x:c r="Z147" s="68" t="n">
        <x:v>0.4495</x:v>
      </x:c>
      <x:c r="AA147" s="68" t="n">
        <x:v>0.0898</x:v>
      </x:c>
      <x:c r="AB147" s="68" t="n">
        <x:v>3.002805490169055</x:v>
      </x:c>
      <x:c r="AC147" s="68" t="n">
        <x:v>0.2211</x:v>
      </x:c>
      <x:c r="AD147" s="60" t="str">
        <x:v>同行估值 96、现金流 89</x:v>
      </x:c>
      <x:c r="AE147" s="60" t="str">
        <x:v>行业地位 69、盈利能力 69</x:v>
      </x:c>
    </x:row>
    <x:row r="148" ht="39.599998474121094" hidden="0" customHeight="1">
      <x:c r="A148" s="60" t="str">
        <x:v>历史低估关注</x:v>
      </x:c>
      <x:c r="B148" s="66" t="str">
        <x:v>000999.SZ</x:v>
      </x:c>
      <x:c r="C148" s="60" t="str">
        <x:v>华润三九</x:v>
      </x:c>
      <x:c r="D148" s="60" t="str">
        <x:v>医药医疗</x:v>
      </x:c>
      <x:c r="E148" s="60" t="str">
        <x:v>中药</x:v>
      </x:c>
      <x:c r="F148" s="60" t="str">
        <x:v>中药</x:v>
      </x:c>
      <x:c r="G148" s="61" t="n">
        <x:v>2</x:v>
      </x:c>
      <x:c r="H148" s="67" t="n">
        <x:v>79.4058</x:v>
      </x:c>
      <x:c r="I148" s="68" t="n">
        <x:v>1</x:v>
      </x:c>
      <x:c r="J148" s="69" t="str">
        <x:v>历史偏低位</x:v>
      </x:c>
      <x:c r="K148" s="69" t="str">
        <x:v>完整</x:v>
      </x:c>
      <x:c r="L148" s="69" t="str">
        <x:v>2026-08-19</x:v>
      </x:c>
      <x:c r="M148" s="69" t="str">
        <x:v>2026-08-24</x:v>
      </x:c>
      <x:c r="N148" s="70" t="n">
        <x:v>24.61</x:v>
      </x:c>
      <x:c r="O148" s="70" t="n">
        <x:v>12.6926</x:v>
      </x:c>
      <x:c r="P148" s="68" t="n">
        <x:v>0.030600000000000002</x:v>
      </x:c>
      <x:c r="Q148" s="70" t="n">
        <x:v>1.7619</x:v>
      </x:c>
      <x:c r="R148" s="68" t="n">
        <x:v>0.0748</x:v>
      </x:c>
      <x:c r="S148" s="68" t="n">
        <x:v>0.042259000000000005</x:v>
      </x:c>
      <x:c r="T148" s="68" t="n">
        <x:v>0.2071</x:v>
      </x:c>
      <x:c r="U148" s="68" t="n">
        <x:v>0.1042</x:v>
      </x:c>
      <x:c r="V148" s="71" t="n">
        <x:v>392.76</x:v>
      </x:c>
      <x:c r="W148" s="71" t="n">
        <x:v>96.1617408</x:v>
      </x:c>
      <x:c r="X148" s="71" t="n">
        <x:v>10.68174272</x:v>
      </x:c>
      <x:c r="Y148" s="68" t="n">
        <x:v>0.1607</x:v>
      </x:c>
      <x:c r="Z148" s="68" t="n">
        <x:v>0.5403</x:v>
      </x:c>
      <x:c r="AA148" s="68" t="n">
        <x:v>0.1318</x:v>
      </x:c>
      <x:c r="AB148" s="68" t="n">
        <x:v>2.4225663132242152</x:v>
      </x:c>
      <x:c r="AC148" s="68" t="n">
        <x:v>0.3458</x:v>
      </x:c>
      <x:c r="AD148" s="60" t="str">
        <x:v>行业地位 97、成长稳定 93</x:v>
      </x:c>
      <x:c r="AE148" s="60" t="str">
        <x:v>稳健性 30、盈利能力 71</x:v>
      </x:c>
    </x:row>
    <x:row r="149" ht="39.599998474121094" hidden="0" customHeight="1">
      <x:c r="A149" s="60" t="str">
        <x:v>历史低估关注</x:v>
      </x:c>
      <x:c r="B149" s="66" t="str">
        <x:v>601865.SH</x:v>
      </x:c>
      <x:c r="C149" s="60" t="str">
        <x:v>福莱特</x:v>
      </x:c>
      <x:c r="D149" s="60" t="str">
        <x:v>电力设备</x:v>
      </x:c>
      <x:c r="E149" s="60" t="str">
        <x:v>光伏设备</x:v>
      </x:c>
      <x:c r="F149" s="60" t="str">
        <x:v>光伏辅材</x:v>
      </x:c>
      <x:c r="G149" s="61" t="n">
        <x:v>1</x:v>
      </x:c>
      <x:c r="H149" s="67" t="n">
        <x:v>79.2867</x:v>
      </x:c>
      <x:c r="I149" s="68" t="n">
        <x:v>1</x:v>
      </x:c>
      <x:c r="J149" s="69" t="str">
        <x:v>历史偏低位</x:v>
      </x:c>
      <x:c r="K149" s="69" t="str">
        <x:v>完整</x:v>
      </x:c>
      <x:c r="L149" s="69" t="str">
        <x:v>2026-08-19</x:v>
      </x:c>
      <x:c r="M149" s="69" t="str">
        <x:v>2026-08-24</x:v>
      </x:c>
      <x:c r="N149" s="70" t="n">
        <x:v>10.12</x:v>
      </x:c>
      <x:c r="O149" s="70" t="n">
        <x:v>25.9809</x:v>
      </x:c>
      <x:c r="P149" s="68" t="n">
        <x:v>0.26170000000000004</x:v>
      </x:c>
      <x:c r="Q149" s="70" t="n">
        <x:v>1.0527</x:v>
      </x:c>
      <x:c r="R149" s="68" t="n">
        <x:v>0.0161</x:v>
      </x:c>
      <x:c r="S149" s="68" t="n">
        <x:v>0.014822</x:v>
      </x:c>
      <x:c r="T149" s="68" t="n">
        <x:v>0.2414</x:v>
      </x:c>
      <x:c r="U149" s="68" t="n">
        <x:v>0.17309999999999998</x:v>
      </x:c>
      <x:c r="V149" s="71" t="n">
        <x:v>240.85</x:v>
      </x:c>
      <x:c r="W149" s="71" t="n">
        <x:v>31.03192832</x:v>
      </x:c>
      <x:c r="X149" s="71" t="n">
        <x:v>3.4301776</x:v>
      </x:c>
      <x:c r="Y149" s="68" t="n">
        <x:v>0.0444</x:v>
      </x:c>
      <x:c r="Z149" s="68" t="n">
        <x:v>0.1691</x:v>
      </x:c>
      <x:c r="AA149" s="68" t="n">
        <x:v>0.0638</x:v>
      </x:c>
      <x:c r="AB149" s="68" t="n">
        <x:v>1.8929160052820588</x:v>
      </x:c>
      <x:c r="AC149" s="68" t="n">
        <x:v>0.46649999999999997</x:v>
      </x:c>
      <x:c r="AD149" s="60" t="str">
        <x:v>行业地位 91、同行估值 89</x:v>
      </x:c>
      <x:c r="AE149" s="60" t="str">
        <x:v>稳健性 41、成长稳定 70</x:v>
      </x:c>
    </x:row>
    <x:row r="150" ht="39.599998474121094" hidden="0" customHeight="1">
      <x:c r="A150" s="60" t="str">
        <x:v>历史低估关注</x:v>
      </x:c>
      <x:c r="B150" s="66" t="str">
        <x:v>603939.SH</x:v>
      </x:c>
      <x:c r="C150" s="60" t="str">
        <x:v>益丰药房</x:v>
      </x:c>
      <x:c r="D150" s="60" t="str">
        <x:v>医药医疗</x:v>
      </x:c>
      <x:c r="E150" s="60" t="str">
        <x:v>医药商业</x:v>
      </x:c>
      <x:c r="F150" s="60" t="str">
        <x:v>线下药店</x:v>
      </x:c>
      <x:c r="G150" s="61" t="n">
        <x:v>1</x:v>
      </x:c>
      <x:c r="H150" s="67" t="n">
        <x:v>79.1833</x:v>
      </x:c>
      <x:c r="I150" s="68" t="n">
        <x:v>1</x:v>
      </x:c>
      <x:c r="J150" s="69" t="str">
        <x:v>历史偏低位</x:v>
      </x:c>
      <x:c r="K150" s="69" t="str">
        <x:v>完整</x:v>
      </x:c>
      <x:c r="L150" s="69" t="str">
        <x:v>2026-08-19</x:v>
      </x:c>
      <x:c r="M150" s="69" t="str">
        <x:v>2026-08-24</x:v>
      </x:c>
      <x:c r="N150" s="70" t="n">
        <x:v>23.97</x:v>
      </x:c>
      <x:c r="O150" s="70" t="n">
        <x:v>16.8125</x:v>
      </x:c>
      <x:c r="P150" s="68" t="n">
        <x:v>0.1096</x:v>
      </x:c>
      <x:c r="Q150" s="70" t="n">
        <x:v>2.395</x:v>
      </x:c>
      <x:c r="R150" s="68" t="n">
        <x:v>0.0907</x:v>
      </x:c>
      <x:c r="S150" s="68" t="n">
        <x:v>0.029203</x:v>
      </x:c>
      <x:c r="T150" s="68" t="n">
        <x:v>0.20809999999999998</x:v>
      </x:c>
      <x:c r="U150" s="68" t="n">
        <x:v>0.1361</x:v>
      </x:c>
      <x:c r="V150" s="71" t="n">
        <x:v>286.73</x:v>
      </x:c>
      <x:c r="W150" s="71" t="n">
        <x:v>71.47265024</x:v>
      </x:c>
      <x:c r="X150" s="71" t="n">
        <x:v>4.53926016</x:v>
      </x:c>
      <x:c r="Y150" s="68" t="n">
        <x:v>0.14980000000000002</x:v>
      </x:c>
      <x:c r="Z150" s="68" t="n">
        <x:v>0.3936</x:v>
      </x:c>
      <x:c r="AA150" s="68" t="n">
        <x:v>0.07490000000000001</x:v>
      </x:c>
      <x:c r="AB150" s="68" t="n">
        <x:v>2.403997465525307</x:v>
      </x:c>
      <x:c r="AC150" s="68" t="n">
        <x:v>0.5490999999999999</x:v>
      </x:c>
      <x:c r="AD150" s="60" t="str">
        <x:v>行业地位 95、成长稳定 95</x:v>
      </x:c>
      <x:c r="AE150" s="60" t="str">
        <x:v>现金流 49、同行估值 53</x:v>
      </x:c>
    </x:row>
    <x:row r="151" ht="39.599998474121094" hidden="0" customHeight="1">
      <x:c r="A151" s="60" t="str">
        <x:v>历史低估关注</x:v>
      </x:c>
      <x:c r="B151" s="66" t="str">
        <x:v>601058.SH</x:v>
      </x:c>
      <x:c r="C151" s="60" t="str">
        <x:v>赛轮轮胎</x:v>
      </x:c>
      <x:c r="D151" s="60" t="str">
        <x:v>汽车</x:v>
      </x:c>
      <x:c r="E151" s="60" t="str">
        <x:v>汽车零部件</x:v>
      </x:c>
      <x:c r="F151" s="60" t="str">
        <x:v>轮胎轮毂</x:v>
      </x:c>
      <x:c r="G151" s="61" t="n">
        <x:v>1</x:v>
      </x:c>
      <x:c r="H151" s="67" t="n">
        <x:v>78.9343</x:v>
      </x:c>
      <x:c r="I151" s="68" t="n">
        <x:v>1</x:v>
      </x:c>
      <x:c r="J151" s="69" t="str">
        <x:v>历史偏低位</x:v>
      </x:c>
      <x:c r="K151" s="69" t="str">
        <x:v>完整</x:v>
      </x:c>
      <x:c r="L151" s="69" t="str">
        <x:v>2026-08-19</x:v>
      </x:c>
      <x:c r="M151" s="69" t="str">
        <x:v>2026-08-24</x:v>
      </x:c>
      <x:c r="N151" s="70" t="n">
        <x:v>14.06</x:v>
      </x:c>
      <x:c r="O151" s="70" t="n">
        <x:v>13.0583</x:v>
      </x:c>
      <x:c r="P151" s="68" t="n">
        <x:v>0.34840000000000004</x:v>
      </x:c>
      <x:c r="Q151" s="70" t="n">
        <x:v>2.0624</x:v>
      </x:c>
      <x:c r="R151" s="68" t="n">
        <x:v>0.0915</x:v>
      </x:c>
      <x:c r="S151" s="68" t="n">
        <x:v>0.023471000000000002</x:v>
      </x:c>
      <x:c r="T151" s="68" t="n">
        <x:v>0.2607</x:v>
      </x:c>
      <x:c r="U151" s="68" t="n">
        <x:v>0.2335</x:v>
      </x:c>
      <x:c r="V151" s="71" t="n">
        <x:v>457.37</x:v>
      </x:c>
      <x:c r="W151" s="71" t="n">
        <x:v>92.0535552</x:v>
      </x:c>
      <x:c r="X151" s="71" t="n">
        <x:v>6.50833152</x:v>
      </x:c>
      <x:c r="Y151" s="68" t="n">
        <x:v>0.1704</x:v>
      </x:c>
      <x:c r="Z151" s="68" t="n">
        <x:v>0.2468</x:v>
      </x:c>
      <x:c r="AA151" s="68" t="n">
        <x:v>0.0983</x:v>
      </x:c>
      <x:c r="AB151" s="68" t="n">
        <x:v>2.5699285336958373</x:v>
      </x:c>
      <x:c r="AC151" s="68" t="n">
        <x:v>0.5006</x:v>
      </x:c>
      <x:c r="AD151" s="60" t="str">
        <x:v>行业地位 99、成长稳定 82</x:v>
      </x:c>
      <x:c r="AE151" s="60" t="str">
        <x:v>稳健性 53、现金流 68</x:v>
      </x:c>
    </x:row>
    <x:row r="152" ht="39.599998474121094" hidden="0" customHeight="1">
      <x:c r="A152" s="60" t="str">
        <x:v>历史低估关注</x:v>
      </x:c>
      <x:c r="B152" s="66" t="str">
        <x:v>000682.SZ</x:v>
      </x:c>
      <x:c r="C152" s="60" t="str">
        <x:v>东方电子</x:v>
      </x:c>
      <x:c r="D152" s="60" t="str">
        <x:v>电力设备</x:v>
      </x:c>
      <x:c r="E152" s="60" t="str">
        <x:v>电网设备</x:v>
      </x:c>
      <x:c r="F152" s="60" t="str">
        <x:v>电网自动化</x:v>
      </x:c>
      <x:c r="G152" s="61" t="n">
        <x:v>1</x:v>
      </x:c>
      <x:c r="H152" s="67" t="n">
        <x:v>78.6426</x:v>
      </x:c>
      <x:c r="I152" s="68" t="n">
        <x:v>1</x:v>
      </x:c>
      <x:c r="J152" s="69" t="str">
        <x:v>历史偏低位</x:v>
      </x:c>
      <x:c r="K152" s="69" t="str">
        <x:v>完整</x:v>
      </x:c>
      <x:c r="L152" s="69" t="str">
        <x:v>2026-08-19</x:v>
      </x:c>
      <x:c r="M152" s="69" t="str">
        <x:v>2026-08-24</x:v>
      </x:c>
      <x:c r="N152" s="70" t="n">
        <x:v>11.58</x:v>
      </x:c>
      <x:c r="O152" s="70" t="n">
        <x:v>15.1187</x:v>
      </x:c>
      <x:c r="P152" s="68" t="n">
        <x:v>0.0053</x:v>
      </x:c>
      <x:c r="Q152" s="70" t="n">
        <x:v>2.5237</x:v>
      </x:c>
      <x:c r="R152" s="68" t="n">
        <x:v>0.2382</x:v>
      </x:c>
      <x:c r="S152" s="68" t="n">
        <x:v>0.007513</x:v>
      </x:c>
      <x:c r="T152" s="68" t="n">
        <x:v>0.5105</x:v>
      </x:c>
      <x:c r="U152" s="68" t="n">
        <x:v>0.25129999999999997</x:v>
      </x:c>
      <x:c r="V152" s="71" t="n">
        <x:v>153.92</x:v>
      </x:c>
      <x:c r="W152" s="71" t="n">
        <x:v>32.128384</x:v>
      </x:c>
      <x:c r="X152" s="71" t="n">
        <x:v>4.1697728</x:v>
      </x:c>
      <x:c r="Y152" s="68" t="n">
        <x:v>0.165</x:v>
      </x:c>
      <x:c r="Z152" s="68" t="n">
        <x:v>0.3224</x:v>
      </x:c>
      <x:c r="AA152" s="68" t="n">
        <x:v>0.1107</x:v>
      </x:c>
      <x:c r="AB152" s="68" t="n">
        <x:v>2.789148569437644</x:v>
      </x:c>
      <x:c r="AC152" s="68" t="n">
        <x:v>0.5427000000000001</x:v>
      </x:c>
      <x:c r="AD152" s="60" t="str">
        <x:v>成长稳定 90、行业地位 88</x:v>
      </x:c>
      <x:c r="AE152" s="60" t="str">
        <x:v>稳健性 63、现金流 63</x:v>
      </x:c>
    </x:row>
    <x:row r="153" ht="39.599998474121094" hidden="0" customHeight="1">
      <x:c r="A153" s="60" t="str">
        <x:v>历史低估关注</x:v>
      </x:c>
      <x:c r="B153" s="66" t="str">
        <x:v>002230.SZ</x:v>
      </x:c>
      <x:c r="C153" s="60" t="str">
        <x:v>科大讯飞</x:v>
      </x:c>
      <x:c r="D153" s="60" t="str">
        <x:v>计算机</x:v>
      </x:c>
      <x:c r="E153" s="60" t="str">
        <x:v>软件服务</x:v>
      </x:c>
      <x:c r="F153" s="60" t="str">
        <x:v>新兴软件</x:v>
      </x:c>
      <x:c r="G153" s="61" t="n">
        <x:v>1</x:v>
      </x:c>
      <x:c r="H153" s="67" t="n">
        <x:v>78.625</x:v>
      </x:c>
      <x:c r="I153" s="68" t="n">
        <x:v>1</x:v>
      </x:c>
      <x:c r="J153" s="69" t="str">
        <x:v>历史偏低位</x:v>
      </x:c>
      <x:c r="K153" s="69" t="str">
        <x:v>完整</x:v>
      </x:c>
      <x:c r="L153" s="69" t="str">
        <x:v>2026-08-19</x:v>
      </x:c>
      <x:c r="M153" s="69" t="str">
        <x:v>2026-08-24</x:v>
      </x:c>
      <x:c r="N153" s="70" t="n">
        <x:v>39.82</x:v>
      </x:c>
      <x:c r="O153" s="70" t="n">
        <x:v>110.8458</x:v>
      </x:c>
      <x:c r="P153" s="68" t="n">
        <x:v>0.3362</x:v>
      </x:c>
      <x:c r="Q153" s="70" t="n">
        <x:v>5.0735</x:v>
      </x:c>
      <x:c r="R153" s="68" t="n">
        <x:v>0.1148</x:v>
      </x:c>
      <x:c r="S153" s="68" t="n">
        <x:v>0.0025109999999999998</x:v>
      </x:c>
      <x:c r="T153" s="68" t="n">
        <x:v>0.3193</x:v>
      </x:c>
      <x:c r="U153" s="68" t="n">
        <x:v>0.2568</x:v>
      </x:c>
      <x:c r="V153" s="71" t="n">
        <x:v>935.13</x:v>
      </x:c>
      <x:c r="W153" s="71" t="n">
        <x:v>101.15955712</x:v>
      </x:c>
      <x:c r="X153" s="71" t="n">
        <x:v>9.06066304</x:v>
      </x:c>
      <x:c r="Y153" s="68" t="n">
        <x:v>0.045700000000000005</x:v>
      </x:c>
      <x:c r="Z153" s="68" t="n">
        <x:v>0.4236</x:v>
      </x:c>
      <x:c r="AA153" s="68" t="n">
        <x:v>0.0313</x:v>
      </x:c>
      <x:c r="AB153" s="68" t="n">
        <x:v>3.405295619513514</x:v>
      </x:c>
      <x:c r="AC153" s="68" t="n">
        <x:v>0.5572</x:v>
      </x:c>
      <x:c r="AD153" s="60" t="str">
        <x:v>行业地位 100、现金流 98</x:v>
      </x:c>
      <x:c r="AE153" s="60" t="str">
        <x:v>稳健性 45、盈利能力 60</x:v>
      </x:c>
    </x:row>
    <x:row r="154" ht="39.599998474121094" hidden="0" customHeight="1">
      <x:c r="A154" s="60" t="str">
        <x:v>历史低估关注</x:v>
      </x:c>
      <x:c r="B154" s="66" t="str">
        <x:v>300693.SZ</x:v>
      </x:c>
      <x:c r="C154" s="60" t="str">
        <x:v>盛弘股份</x:v>
      </x:c>
      <x:c r="D154" s="60" t="str">
        <x:v>电力设备</x:v>
      </x:c>
      <x:c r="E154" s="60" t="str">
        <x:v>其他发电设备</x:v>
      </x:c>
      <x:c r="F154" s="60" t="str">
        <x:v>其他发电设备</x:v>
      </x:c>
      <x:c r="G154" s="61" t="n">
        <x:v>1</x:v>
      </x:c>
      <x:c r="H154" s="67" t="n">
        <x:v>78.3068</x:v>
      </x:c>
      <x:c r="I154" s="68" t="n">
        <x:v>1</x:v>
      </x:c>
      <x:c r="J154" s="69" t="str">
        <x:v>历史偏低位</x:v>
      </x:c>
      <x:c r="K154" s="69" t="str">
        <x:v>完整</x:v>
      </x:c>
      <x:c r="L154" s="69" t="str">
        <x:v>2026-08-19</x:v>
      </x:c>
      <x:c r="M154" s="69" t="str">
        <x:v>2026-08-24</x:v>
      </x:c>
      <x:c r="N154" s="70" t="n">
        <x:v>41.65</x:v>
      </x:c>
      <x:c r="O154" s="70" t="n">
        <x:v>23.8679</x:v>
      </x:c>
      <x:c r="P154" s="68" t="n">
        <x:v>0.2872</x:v>
      </x:c>
      <x:c r="Q154" s="70" t="n">
        <x:v>5.8004</x:v>
      </x:c>
      <x:c r="R154" s="68" t="n">
        <x:v>0.2717</x:v>
      </x:c>
      <x:c r="S154" s="68" t="n">
        <x:v>0.012004999999999998</x:v>
      </x:c>
      <x:c r="T154" s="68" t="n">
        <x:v>0.3094</x:v>
      </x:c>
      <x:c r="U154" s="68" t="n">
        <x:v>0.2894</x:v>
      </x:c>
      <x:c r="V154" s="71" t="n">
        <x:v>132.31</x:v>
      </x:c>
      <x:c r="W154" s="71" t="n">
        <x:v>12.46603648</x:v>
      </x:c>
      <x:c r="X154" s="71" t="n">
        <x:v>1.99493584</x:v>
      </x:c>
      <x:c r="Y154" s="68" t="n">
        <x:v>0.2415</x:v>
      </x:c>
      <x:c r="Z154" s="68" t="n">
        <x:v>0.3847</x:v>
      </x:c>
      <x:c r="AA154" s="68" t="n">
        <x:v>0.13699999999999998</x:v>
      </x:c>
      <x:c r="AB154" s="68" t="n">
        <x:v>1.7599687015498202</x:v>
      </x:c>
      <x:c r="AC154" s="68" t="n">
        <x:v>0.478</x:v>
      </x:c>
      <x:c r="AD154" s="60" t="str">
        <x:v>成长稳定 99、盈利能力 93</x:v>
      </x:c>
      <x:c r="AE154" s="60" t="str">
        <x:v>稳健性 51、现金流 69</x:v>
      </x:c>
    </x:row>
    <x:row r="155" ht="52.79999923706055" hidden="0" customHeight="1">
      <x:c r="A155" s="60" t="str">
        <x:v>历史低估关注</x:v>
      </x:c>
      <x:c r="B155" s="66" t="str">
        <x:v>003012.SZ</x:v>
      </x:c>
      <x:c r="C155" s="60" t="str">
        <x:v>东鹏控股</x:v>
      </x:c>
      <x:c r="D155" s="60" t="str">
        <x:v>建材</x:v>
      </x:c>
      <x:c r="E155" s="60" t="str">
        <x:v>装饰建材</x:v>
      </x:c>
      <x:c r="F155" s="60" t="str">
        <x:v>陶瓷</x:v>
      </x:c>
      <x:c r="G155" s="61" t="n">
        <x:v>1</x:v>
      </x:c>
      <x:c r="H155" s="67" t="n">
        <x:v>78.1667</x:v>
      </x:c>
      <x:c r="I155" s="68" t="n">
        <x:v>1</x:v>
      </x:c>
      <x:c r="J155" s="69" t="str">
        <x:v>历史偏低位</x:v>
      </x:c>
      <x:c r="K155" s="69" t="str">
        <x:v>完整</x:v>
      </x:c>
      <x:c r="L155" s="69" t="str">
        <x:v>2026-08-19</x:v>
      </x:c>
      <x:c r="M155" s="69" t="str">
        <x:v>2026-08-24</x:v>
      </x:c>
      <x:c r="N155" s="70" t="n">
        <x:v>4.66</x:v>
      </x:c>
      <x:c r="O155" s="70" t="n">
        <x:v>16.2196</x:v>
      </x:c>
      <x:c r="P155" s="68" t="n">
        <x:v>0.2734</x:v>
      </x:c>
      <x:c r="Q155" s="70" t="n">
        <x:v>0.7128</x:v>
      </x:c>
      <x:c r="R155" s="68" t="n">
        <x:v>0.0196</x:v>
      </x:c>
      <x:c r="S155" s="68" t="n">
        <x:v>0.053648</x:v>
      </x:c>
      <x:c r="T155" s="68" t="n">
        <x:v>0.06309999999999999</x:v>
      </x:c>
      <x:c r="U155" s="68" t="n">
        <x:v>0.11869999999999999</x:v>
      </x:c>
      <x:c r="V155" s="71" t="n">
        <x:v>54.03</x:v>
      </x:c>
      <x:c r="W155" s="71" t="n">
        <x:v>15.61146496</x:v>
      </x:c>
      <x:c r="X155" s="71" t="n">
        <x:v>0.029850375</x:v>
      </x:c>
      <x:c r="Y155" s="68" t="n">
        <x:v>0.0464</x:v>
      </x:c>
      <x:c r="Z155" s="68" t="n">
        <x:v>0.2999</x:v>
      </x:c>
      <x:c r="AA155" s="68" t="n">
        <x:v>0.057999999999999996</x:v>
      </x:c>
      <x:c r="AB155" s="68" t="n">
        <x:v>74.80023952797913</x:v>
      </x:c>
      <x:c r="AC155" s="68" t="n">
        <x:v>0.3398</x:v>
      </x:c>
      <x:c r="AD155" s="60" t="str">
        <x:v>同行估值 100、盈利能力 100</x:v>
      </x:c>
      <x:c r="AE155" s="60" t="str">
        <x:v>现金流 37、成长稳定 43</x:v>
      </x:c>
    </x:row>
    <x:row r="156" ht="52.79999923706055" hidden="0" customHeight="1">
      <x:c r="A156" s="60" t="str">
        <x:v>历史低估关注</x:v>
      </x:c>
      <x:c r="B156" s="66" t="str">
        <x:v>002372.SZ</x:v>
      </x:c>
      <x:c r="C156" s="60" t="str">
        <x:v>伟星新材</x:v>
      </x:c>
      <x:c r="D156" s="60" t="str">
        <x:v>建材</x:v>
      </x:c>
      <x:c r="E156" s="60" t="str">
        <x:v>装饰建材</x:v>
      </x:c>
      <x:c r="F156" s="60" t="str">
        <x:v>管材</x:v>
      </x:c>
      <x:c r="G156" s="61" t="n">
        <x:v>1</x:v>
      </x:c>
      <x:c r="H156" s="67" t="n">
        <x:v>78.05</x:v>
      </x:c>
      <x:c r="I156" s="68" t="n">
        <x:v>1</x:v>
      </x:c>
      <x:c r="J156" s="69" t="str">
        <x:v>历史偏低位</x:v>
      </x:c>
      <x:c r="K156" s="69" t="str">
        <x:v>完整</x:v>
      </x:c>
      <x:c r="L156" s="69" t="str">
        <x:v>2026-08-19</x:v>
      </x:c>
      <x:c r="M156" s="69" t="str">
        <x:v>2026-08-24</x:v>
      </x:c>
      <x:c r="N156" s="70" t="n">
        <x:v>8.47</x:v>
      </x:c>
      <x:c r="O156" s="70" t="n">
        <x:v>15.684</x:v>
      </x:c>
      <x:c r="P156" s="68" t="n">
        <x:v>0.049</x:v>
      </x:c>
      <x:c r="Q156" s="70" t="n">
        <x:v>2.8583</x:v>
      </x:c>
      <x:c r="R156" s="68" t="n">
        <x:v>0.0327</x:v>
      </x:c>
      <x:c r="S156" s="68" t="n">
        <x:v>0.053129</x:v>
      </x:c>
      <x:c r="T156" s="68" t="n">
        <x:v>0.3577</x:v>
      </x:c>
      <x:c r="U156" s="68" t="n">
        <x:v>0.1465</x:v>
      </x:c>
      <x:c r="V156" s="71" t="n">
        <x:v>133.73</x:v>
      </x:c>
      <x:c r="W156" s="71" t="n">
        <x:v>20.15202816</x:v>
      </x:c>
      <x:c r="X156" s="71" t="n">
        <x:v>2.0124048</x:v>
      </x:c>
      <x:c r="Y156" s="68" t="n">
        <x:v>0.149</x:v>
      </x:c>
      <x:c r="Z156" s="68" t="n">
        <x:v>0.40979999999999994</x:v>
      </x:c>
      <x:c r="AA156" s="68" t="n">
        <x:v>0.1364</x:v>
      </x:c>
      <x:c r="AB156" s="68" t="n">
        <x:v>1.1463815232402546</x:v>
      </x:c>
      <x:c r="AC156" s="68" t="n">
        <x:v>0.2306</x:v>
      </x:c>
      <x:c r="AD156" s="60" t="str">
        <x:v>盈利能力 100、行业地位 100</x:v>
      </x:c>
      <x:c r="AE156" s="60" t="str">
        <x:v>现金流 24、同行估值 60</x:v>
      </x:c>
    </x:row>
    <x:row r="157" ht="39.599998474121094" hidden="0" customHeight="1">
      <x:c r="A157" s="60" t="str">
        <x:v>历史低估关注</x:v>
      </x:c>
      <x:c r="B157" s="66" t="str">
        <x:v>688016.SH</x:v>
      </x:c>
      <x:c r="C157" s="60" t="str">
        <x:v>心脉医疗</x:v>
      </x:c>
      <x:c r="D157" s="60" t="str">
        <x:v>医药医疗</x:v>
      </x:c>
      <x:c r="E157" s="60" t="str">
        <x:v>医疗器械</x:v>
      </x:c>
      <x:c r="F157" s="60" t="str">
        <x:v>医疗耗材</x:v>
      </x:c>
      <x:c r="G157" s="61" t="n">
        <x:v>1</x:v>
      </x:c>
      <x:c r="H157" s="67" t="n">
        <x:v>77.9776</x:v>
      </x:c>
      <x:c r="I157" s="68" t="n">
        <x:v>1</x:v>
      </x:c>
      <x:c r="J157" s="69" t="str">
        <x:v>历史偏低位</x:v>
      </x:c>
      <x:c r="K157" s="69" t="str">
        <x:v>完整</x:v>
      </x:c>
      <x:c r="L157" s="69" t="str">
        <x:v>2026-08-19</x:v>
      </x:c>
      <x:c r="M157" s="69" t="str">
        <x:v>2026-08-24</x:v>
      </x:c>
      <x:c r="N157" s="70" t="n">
        <x:v>90.78</x:v>
      </x:c>
      <x:c r="O157" s="70" t="n">
        <x:v>19.013</x:v>
      </x:c>
      <x:c r="P157" s="68" t="n">
        <x:v>0.0601</x:v>
      </x:c>
      <x:c r="Q157" s="70" t="n">
        <x:v>2.6528</x:v>
      </x:c>
      <x:c r="R157" s="68" t="n">
        <x:v>0.035699999999999996</x:v>
      </x:c>
      <x:c r="S157" s="68" t="n">
        <x:v>0.025335999999999997</x:v>
      </x:c>
      <x:c r="T157" s="68" t="n">
        <x:v>0.24600000000000002</x:v>
      </x:c>
      <x:c r="U157" s="68" t="n">
        <x:v>0.1139</x:v>
      </x:c>
      <x:c r="V157" s="71" t="n">
        <x:v>111.4</x:v>
      </x:c>
      <x:c r="W157" s="71" t="n">
        <x:v>3.3585264</x:v>
      </x:c>
      <x:c r="X157" s="71" t="n">
        <x:v>1.3426976</x:v>
      </x:c>
      <x:c r="Y157" s="68" t="n">
        <x:v>0.1431</x:v>
      </x:c>
      <x:c r="Z157" s="68" t="n">
        <x:v>0.7108</x:v>
      </x:c>
      <x:c r="AA157" s="68" t="n">
        <x:v>0.4107</x:v>
      </x:c>
      <x:c r="AB157" s="68" t="n">
        <x:v>1.562990088013861</x:v>
      </x:c>
      <x:c r="AC157" s="68" t="n">
        <x:v>0.11689999999999999</x:v>
      </x:c>
      <x:c r="AD157" s="60" t="str">
        <x:v>成长稳定 90、盈利能力 85</x:v>
      </x:c>
      <x:c r="AE157" s="60" t="str">
        <x:v>稳健性 68、同行估值 71</x:v>
      </x:c>
    </x:row>
    <x:row r="158" ht="39.599998474121094" hidden="0" customHeight="1">
      <x:c r="A158" s="60" t="str">
        <x:v>历史低估关注</x:v>
      </x:c>
      <x:c r="B158" s="66" t="str">
        <x:v>002091.SZ</x:v>
      </x:c>
      <x:c r="C158" s="60" t="str">
        <x:v>江苏国泰</x:v>
      </x:c>
      <x:c r="D158" s="60" t="str">
        <x:v>商贸</x:v>
      </x:c>
      <x:c r="E158" s="60" t="str">
        <x:v>贸易</x:v>
      </x:c>
      <x:c r="F158" s="60" t="str">
        <x:v>贸易</x:v>
      </x:c>
      <x:c r="G158" s="61" t="n">
        <x:v>1</x:v>
      </x:c>
      <x:c r="H158" s="67" t="n">
        <x:v>77.7747</x:v>
      </x:c>
      <x:c r="I158" s="68" t="n">
        <x:v>1</x:v>
      </x:c>
      <x:c r="J158" s="69" t="str">
        <x:v>历史偏低位</x:v>
      </x:c>
      <x:c r="K158" s="69" t="str">
        <x:v>完整</x:v>
      </x:c>
      <x:c r="L158" s="69" t="str">
        <x:v>2026-08-19</x:v>
      </x:c>
      <x:c r="M158" s="69" t="str">
        <x:v>2026-08-24</x:v>
      </x:c>
      <x:c r="N158" s="70" t="n">
        <x:v>7.72</x:v>
      </x:c>
      <x:c r="O158" s="70" t="n">
        <x:v>9.947</x:v>
      </x:c>
      <x:c r="P158" s="68" t="n">
        <x:v>0.5511</x:v>
      </x:c>
      <x:c r="Q158" s="70" t="n">
        <x:v>0.7621</x:v>
      </x:c>
      <x:c r="R158" s="68" t="n">
        <x:v>0.1867</x:v>
      </x:c>
      <x:c r="S158" s="68" t="n">
        <x:v>0.060881</x:v>
      </x:c>
      <x:c r="T158" s="68" t="n">
        <x:v>0.0352</x:v>
      </x:c>
      <x:c r="U158" s="68" t="n">
        <x:v>0.2577</x:v>
      </x:c>
      <x:c r="V158" s="71" t="n">
        <x:v>125.34</x:v>
      </x:c>
      <x:c r="W158" s="71" t="n">
        <x:v>97.81521408</x:v>
      </x:c>
      <x:c r="X158" s="71" t="n">
        <x:v>3.58472704</x:v>
      </x:c>
      <x:c r="Y158" s="68" t="n">
        <x:v>0.081</x:v>
      </x:c>
      <x:c r="Z158" s="68" t="n">
        <x:v>0.16219999999999998</x:v>
      </x:c>
      <x:c r="AA158" s="68" t="n">
        <x:v>0.056100000000000004</x:v>
      </x:c>
      <x:c r="AB158" s="68" t="n">
        <x:v>3.6031879961493525</x:v>
      </x:c>
      <x:c r="AC158" s="68" t="n">
        <x:v>0.5142</x:v>
      </x:c>
      <x:c r="AD158" s="60" t="str">
        <x:v>稳健性 83、同行估值 83</x:v>
      </x:c>
      <x:c r="AE158" s="60" t="str">
        <x:v>成长稳定 65、盈利能力 75</x:v>
      </x:c>
    </x:row>
    <x:row r="159" ht="39.599998474121094" hidden="0" customHeight="1">
      <x:c r="A159" s="60" t="str">
        <x:v>历史低估关注</x:v>
      </x:c>
      <x:c r="B159" s="66" t="str">
        <x:v>603613.SH</x:v>
      </x:c>
      <x:c r="C159" s="60" t="str">
        <x:v>国联股份</x:v>
      </x:c>
      <x:c r="D159" s="60" t="str">
        <x:v>计算机</x:v>
      </x:c>
      <x:c r="E159" s="60" t="str">
        <x:v>产业互联网</x:v>
      </x:c>
      <x:c r="F159" s="60" t="str">
        <x:v>产联网平台服务</x:v>
      </x:c>
      <x:c r="G159" s="61" t="n">
        <x:v>1</x:v>
      </x:c>
      <x:c r="H159" s="67" t="n">
        <x:v>77.75</x:v>
      </x:c>
      <x:c r="I159" s="68" t="n">
        <x:v>1</x:v>
      </x:c>
      <x:c r="J159" s="69" t="str">
        <x:v>历史偏低位</x:v>
      </x:c>
      <x:c r="K159" s="69" t="str">
        <x:v>完整</x:v>
      </x:c>
      <x:c r="L159" s="69" t="str">
        <x:v>2026-08-19</x:v>
      </x:c>
      <x:c r="M159" s="69" t="str">
        <x:v>2026-08-24</x:v>
      </x:c>
      <x:c r="N159" s="70" t="n">
        <x:v>17.95</x:v>
      </x:c>
      <x:c r="O159" s="70" t="n">
        <x:v>9.7506</x:v>
      </x:c>
      <x:c r="P159" s="68" t="n">
        <x:v>0.0617</x:v>
      </x:c>
      <x:c r="Q159" s="70" t="n">
        <x:v>1.3797</x:v>
      </x:c>
      <x:c r="R159" s="68" t="n">
        <x:v>0.0051</x:v>
      </x:c>
      <x:c r="S159" s="68" t="n">
        <x:v>0.003871</x:v>
      </x:c>
      <x:c r="T159" s="68" t="n">
        <x:v>0.39880000000000004</x:v>
      </x:c>
      <x:c r="U159" s="68" t="n">
        <x:v>0.1552</x:v>
      </x:c>
      <x:c r="V159" s="71" t="n">
        <x:v>129.05</x:v>
      </x:c>
      <x:c r="W159" s="71" t="n">
        <x:v>122.01112576</x:v>
      </x:c>
      <x:c r="X159" s="71" t="n">
        <x:v>2.21497856</x:v>
      </x:c>
      <x:c r="Y159" s="68" t="n">
        <x:v>0.1562</x:v>
      </x:c>
      <x:c r="Z159" s="68" t="n">
        <x:v>0.06480000000000001</x:v>
      </x:c>
      <x:c r="AA159" s="68" t="n">
        <x:v>0.031200000000000002</x:v>
      </x:c>
      <x:c r="AB159" s="68" t="n">
        <x:v>3.9020111508438258</x:v>
      </x:c>
      <x:c r="AC159" s="68" t="n">
        <x:v>0.5239</x:v>
      </x:c>
      <x:c r="AD159" s="60" t="str">
        <x:v>成长稳定 90、现金流 90</x:v>
      </x:c>
      <x:c r="AE159" s="60" t="str">
        <x:v>稳健性 20、同行估值 70</x:v>
      </x:c>
    </x:row>
    <x:row r="160" ht="39.599998474121094" hidden="0" customHeight="1">
      <x:c r="A160" s="60" t="str">
        <x:v>历史低估关注</x:v>
      </x:c>
      <x:c r="B160" s="66" t="str">
        <x:v>000920.SZ</x:v>
      </x:c>
      <x:c r="C160" s="60" t="str">
        <x:v>沃顿科技</x:v>
      </x:c>
      <x:c r="D160" s="60" t="str">
        <x:v>化工</x:v>
      </x:c>
      <x:c r="E160" s="60" t="str">
        <x:v>塑料</x:v>
      </x:c>
      <x:c r="F160" s="60" t="str">
        <x:v>其他塑料制品</x:v>
      </x:c>
      <x:c r="G160" s="61" t="n">
        <x:v>1</x:v>
      </x:c>
      <x:c r="H160" s="67" t="n">
        <x:v>77.4367</x:v>
      </x:c>
      <x:c r="I160" s="68" t="n">
        <x:v>1</x:v>
      </x:c>
      <x:c r="J160" s="69" t="str">
        <x:v>历史偏低位</x:v>
      </x:c>
      <x:c r="K160" s="69" t="str">
        <x:v>完整</x:v>
      </x:c>
      <x:c r="L160" s="69" t="str">
        <x:v>2026-08-19</x:v>
      </x:c>
      <x:c r="M160" s="69" t="str">
        <x:v>2026-08-24</x:v>
      </x:c>
      <x:c r="N160" s="70" t="n">
        <x:v>11.15</x:v>
      </x:c>
      <x:c r="O160" s="70" t="n">
        <x:v>23.9315</x:v>
      </x:c>
      <x:c r="P160" s="68" t="n">
        <x:v>0.2569</x:v>
      </x:c>
      <x:c r="Q160" s="70" t="n">
        <x:v>2.6201</x:v>
      </x:c>
      <x:c r="R160" s="68" t="n">
        <x:v>0.4293</x:v>
      </x:c>
      <x:c r="S160" s="68" t="n">
        <x:v>0.02009</x:v>
      </x:c>
      <x:c r="T160" s="68" t="n">
        <x:v>0.0449</x:v>
      </x:c>
      <x:c r="U160" s="68" t="n">
        <x:v>0.2437</x:v>
      </x:c>
      <x:c r="V160" s="71" t="n">
        <x:v>53.5</x:v>
      </x:c>
      <x:c r="W160" s="71" t="n">
        <x:v>6.3897312</x:v>
      </x:c>
      <x:c r="X160" s="71" t="n">
        <x:v>0.25202926</x:v>
      </x:c>
      <x:c r="Y160" s="68" t="n">
        <x:v>0.1139</x:v>
      </x:c>
      <x:c r="Z160" s="68" t="n">
        <x:v>0.37420000000000003</x:v>
      </x:c>
      <x:c r="AA160" s="68" t="n">
        <x:v>0.1144</x:v>
      </x:c>
      <x:c r="AB160" s="68" t="n">
        <x:v>7.0362503147452005</x:v>
      </x:c>
      <x:c r="AC160" s="68" t="n">
        <x:v>0.262</x:v>
      </x:c>
      <x:c r="AD160" s="60" t="str">
        <x:v>行业地位 89、现金流 82</x:v>
      </x:c>
      <x:c r="AE160" s="60" t="str">
        <x:v>稳健性 65、成长稳定 66</x:v>
      </x:c>
    </x:row>
    <x:row r="161" ht="39.599998474121094" hidden="0" customHeight="1">
      <x:c r="A161" s="60" t="str">
        <x:v>历史低估关注</x:v>
      </x:c>
      <x:c r="B161" s="66" t="str">
        <x:v>002027.SZ</x:v>
      </x:c>
      <x:c r="C161" s="60" t="str">
        <x:v>分众传媒</x:v>
      </x:c>
      <x:c r="D161" s="60" t="str">
        <x:v>传媒</x:v>
      </x:c>
      <x:c r="E161" s="60" t="str">
        <x:v>广告营销</x:v>
      </x:c>
      <x:c r="F161" s="60" t="str">
        <x:v>其他广告营销</x:v>
      </x:c>
      <x:c r="G161" s="61" t="n">
        <x:v>1</x:v>
      </x:c>
      <x:c r="H161" s="67" t="n">
        <x:v>77.2288</x:v>
      </x:c>
      <x:c r="I161" s="68" t="n">
        <x:v>1</x:v>
      </x:c>
      <x:c r="J161" s="69" t="str">
        <x:v>历史偏低位</x:v>
      </x:c>
      <x:c r="K161" s="69" t="str">
        <x:v>完整</x:v>
      </x:c>
      <x:c r="L161" s="69" t="str">
        <x:v>2026-08-19</x:v>
      </x:c>
      <x:c r="M161" s="69" t="str">
        <x:v>2026-08-24</x:v>
      </x:c>
      <x:c r="N161" s="70" t="n">
        <x:v>4.98</x:v>
      </x:c>
      <x:c r="O161" s="70" t="n">
        <x:v>19.9744</x:v>
      </x:c>
      <x:c r="P161" s="68" t="n">
        <x:v>0.5302</x:v>
      </x:c>
      <x:c r="Q161" s="70" t="n">
        <x:v>4.6565</x:v>
      </x:c>
      <x:c r="R161" s="68" t="n">
        <x:v>0.1307</x:v>
      </x:c>
      <x:c r="S161" s="68" t="n">
        <x:v>0.114458</x:v>
      </x:c>
      <x:c r="T161" s="68" t="n">
        <x:v>0.0053</x:v>
      </x:c>
      <x:c r="U161" s="68" t="n">
        <x:v>0.22210000000000002</x:v>
      </x:c>
      <x:c r="V161" s="71" t="n">
        <x:v>704.78</x:v>
      </x:c>
      <x:c r="W161" s="71" t="n">
        <x:v>31.51970048</x:v>
      </x:c>
      <x:c r="X161" s="71" t="n">
        <x:v>-12.94143488</x:v>
      </x:c>
      <x:c r="Y161" s="68" t="n">
        <x:v>0.18280000000000002</x:v>
      </x:c>
      <x:c r="Z161" s="68" t="n">
        <x:v>0.7048000000000001</x:v>
      </x:c>
      <x:c r="AA161" s="68" t="n">
        <x:v>0.2289</x:v>
      </x:c>
      <x:c r="AB161" s="68" t="n">
        <x:v>-1.46629324614737</x:v>
      </x:c>
      <x:c r="AC161" s="68" t="n">
        <x:v>0.2771</x:v>
      </x:c>
      <x:c r="AD161" s="60" t="str">
        <x:v>盈利能力 100、稳健性 91</x:v>
      </x:c>
      <x:c r="AE161" s="60" t="str">
        <x:v>现金流 59、成长稳定 64</x:v>
      </x:c>
    </x:row>
    <x:row r="162" ht="39.599998474121094" hidden="0" customHeight="1">
      <x:c r="A162" s="60" t="str">
        <x:v>历史低估关注</x:v>
      </x:c>
      <x:c r="B162" s="66" t="str">
        <x:v>601877.SH</x:v>
      </x:c>
      <x:c r="C162" s="60" t="str">
        <x:v>正泰电器</x:v>
      </x:c>
      <x:c r="D162" s="60" t="str">
        <x:v>电力设备</x:v>
      </x:c>
      <x:c r="E162" s="60" t="str">
        <x:v>电网设备</x:v>
      </x:c>
      <x:c r="F162" s="60" t="str">
        <x:v>配电设备</x:v>
      </x:c>
      <x:c r="G162" s="61" t="n">
        <x:v>1</x:v>
      </x:c>
      <x:c r="H162" s="67" t="n">
        <x:v>77.0437</x:v>
      </x:c>
      <x:c r="I162" s="68" t="n">
        <x:v>1</x:v>
      </x:c>
      <x:c r="J162" s="69" t="str">
        <x:v>历史偏低位</x:v>
      </x:c>
      <x:c r="K162" s="69" t="str">
        <x:v>完整</x:v>
      </x:c>
      <x:c r="L162" s="69" t="str">
        <x:v>2026-08-19</x:v>
      </x:c>
      <x:c r="M162" s="69" t="str">
        <x:v>2026-08-24</x:v>
      </x:c>
      <x:c r="N162" s="70" t="n">
        <x:v>23.89</x:v>
      </x:c>
      <x:c r="O162" s="70" t="n">
        <x:v>11.1481</x:v>
      </x:c>
      <x:c r="P162" s="68" t="n">
        <x:v>0.08990000000000001</x:v>
      </x:c>
      <x:c r="Q162" s="70" t="n">
        <x:v>1.1285</x:v>
      </x:c>
      <x:c r="R162" s="68" t="n">
        <x:v>0.1441</x:v>
      </x:c>
      <x:c r="S162" s="68" t="n">
        <x:v>0.025115</x:v>
      </x:c>
      <x:c r="T162" s="68" t="n">
        <x:v>0.1301</x:v>
      </x:c>
      <x:c r="U162" s="68" t="n">
        <x:v>0.12140000000000001</x:v>
      </x:c>
      <x:c r="V162" s="71" t="n">
        <x:v>563.46</x:v>
      </x:c>
      <x:c r="W162" s="71" t="n">
        <x:v>127.48845056</x:v>
      </x:c>
      <x:c r="X162" s="71" t="n">
        <x:v>3.22289664</x:v>
      </x:c>
      <x:c r="Y162" s="68" t="n">
        <x:v>0.1035</x:v>
      </x:c>
      <x:c r="Z162" s="68" t="n">
        <x:v>0.26</x:v>
      </x:c>
      <x:c r="AA162" s="68" t="n">
        <x:v>0.1036</x:v>
      </x:c>
      <x:c r="AB162" s="68" t="n">
        <x:v>24.319710805246306</x:v>
      </x:c>
      <x:c r="AC162" s="68" t="n">
        <x:v>0.6613</x:v>
      </x:c>
      <x:c r="AD162" s="60" t="str">
        <x:v>行业地位 100、同行估值 95</x:v>
      </x:c>
      <x:c r="AE162" s="60" t="str">
        <x:v>稳健性 40、成长稳定 49</x:v>
      </x:c>
    </x:row>
    <x:row r="163" ht="39.599998474121094" hidden="0" customHeight="1">
      <x:c r="A163" s="60" t="str">
        <x:v>历史低估关注</x:v>
      </x:c>
      <x:c r="B163" s="66" t="str">
        <x:v>603486.SH</x:v>
      </x:c>
      <x:c r="C163" s="60" t="str">
        <x:v>科沃斯</x:v>
      </x:c>
      <x:c r="D163" s="60" t="str">
        <x:v>家电</x:v>
      </x:c>
      <x:c r="E163" s="60" t="str">
        <x:v>小家电</x:v>
      </x:c>
      <x:c r="F163" s="60" t="str">
        <x:v>清洁小家电</x:v>
      </x:c>
      <x:c r="G163" s="61" t="n">
        <x:v>1</x:v>
      </x:c>
      <x:c r="H163" s="67" t="n">
        <x:v>76.85</x:v>
      </x:c>
      <x:c r="I163" s="68" t="n">
        <x:v>1</x:v>
      </x:c>
      <x:c r="J163" s="69" t="str">
        <x:v>历史偏低位</x:v>
      </x:c>
      <x:c r="K163" s="69" t="str">
        <x:v>完整</x:v>
      </x:c>
      <x:c r="L163" s="69" t="str">
        <x:v>2026-08-19</x:v>
      </x:c>
      <x:c r="M163" s="69" t="str">
        <x:v>2026-08-24</x:v>
      </x:c>
      <x:c r="N163" s="70" t="n">
        <x:v>60.7</x:v>
      </x:c>
      <x:c r="O163" s="70" t="n">
        <x:v>20.8012</x:v>
      </x:c>
      <x:c r="P163" s="68" t="n">
        <x:v>0.163</x:v>
      </x:c>
      <x:c r="Q163" s="70" t="n">
        <x:v>3.7376</x:v>
      </x:c>
      <x:c r="R163" s="68" t="n">
        <x:v>0.18109999999999998</x:v>
      </x:c>
      <x:c r="S163" s="68" t="n">
        <x:v>0.015157</x:v>
      </x:c>
      <x:c r="T163" s="68" t="n">
        <x:v>0.2275</x:v>
      </x:c>
      <x:c r="U163" s="68" t="n">
        <x:v>0.1905</x:v>
      </x:c>
      <x:c r="V163" s="71" t="n">
        <x:v>318.93</x:v>
      </x:c>
      <x:c r="W163" s="71" t="n">
        <x:v>61.62448384</x:v>
      </x:c>
      <x:c r="X163" s="71" t="n">
        <x:v>3.40378656</x:v>
      </x:c>
      <x:c r="Y163" s="68" t="n">
        <x:v>0.22190000000000001</x:v>
      </x:c>
      <x:c r="Z163" s="68" t="n">
        <x:v>0.4882</x:v>
      </x:c>
      <x:c r="AA163" s="68" t="n">
        <x:v>0.09230000000000001</x:v>
      </x:c>
      <x:c r="AB163" s="68" t="n">
        <x:v>4.183133457110777</x:v>
      </x:c>
      <x:c r="AC163" s="68" t="n">
        <x:v>0.48119999999999996</x:v>
      </x:c>
      <x:c r="AD163" s="60" t="str">
        <x:v>行业地位 96、盈利能力 90</x:v>
      </x:c>
      <x:c r="AE163" s="60" t="str">
        <x:v>同行估值 60、稳健性 61</x:v>
      </x:c>
    </x:row>
    <x:row r="164" ht="39.599998474121094" hidden="0" customHeight="1">
      <x:c r="A164" s="60" t="str">
        <x:v>历史低估关注</x:v>
      </x:c>
      <x:c r="B164" s="66" t="str">
        <x:v>601888.SH</x:v>
      </x:c>
      <x:c r="C164" s="60" t="str">
        <x:v>中国中免</x:v>
      </x:c>
      <x:c r="D164" s="60" t="str">
        <x:v>社会服务</x:v>
      </x:c>
      <x:c r="E164" s="60" t="str">
        <x:v>旅游</x:v>
      </x:c>
      <x:c r="F164" s="60" t="str">
        <x:v>旅游服务</x:v>
      </x:c>
      <x:c r="G164" s="61" t="n">
        <x:v>1</x:v>
      </x:c>
      <x:c r="H164" s="67" t="n">
        <x:v>76.8333</x:v>
      </x:c>
      <x:c r="I164" s="68" t="n">
        <x:v>1</x:v>
      </x:c>
      <x:c r="J164" s="69" t="str">
        <x:v>历史偏低位</x:v>
      </x:c>
      <x:c r="K164" s="69" t="str">
        <x:v>完整</x:v>
      </x:c>
      <x:c r="L164" s="69" t="str">
        <x:v>2026-08-19</x:v>
      </x:c>
      <x:c r="M164" s="69" t="str">
        <x:v>2026-08-24</x:v>
      </x:c>
      <x:c r="N164" s="70" t="n">
        <x:v>52.88</x:v>
      </x:c>
      <x:c r="O164" s="70" t="n">
        <x:v>27.4917</x:v>
      </x:c>
      <x:c r="P164" s="68" t="n">
        <x:v>0.1913</x:v>
      </x:c>
      <x:c r="Q164" s="70" t="n">
        <x:v>1.8958</x:v>
      </x:c>
      <x:c r="R164" s="68" t="n">
        <x:v>0.0051</x:v>
      </x:c>
      <x:c r="S164" s="68" t="n">
        <x:v>0.013238000000000002</x:v>
      </x:c>
      <x:c r="T164" s="68" t="n">
        <x:v>0.3823</x:v>
      </x:c>
      <x:c r="U164" s="68" t="n">
        <x:v>0.1929</x:v>
      </x:c>
      <x:c r="V164" s="71" t="n">
        <x:v>1081.7</x:v>
      </x:c>
      <x:c r="W164" s="71" t="n">
        <x:v>138.3145984</x:v>
      </x:c>
      <x:c r="X164" s="71" t="n">
        <x:v>5.3421808</x:v>
      </x:c>
      <x:c r="Y164" s="68" t="n">
        <x:v>0.06480000000000001</x:v>
      </x:c>
      <x:c r="Z164" s="68" t="n">
        <x:v>0.3275</x:v>
      </x:c>
      <x:c r="AA164" s="68" t="n">
        <x:v>0.0687</x:v>
      </x:c>
      <x:c r="AB164" s="68" t="n">
        <x:v>4.9990196063749845</x:v>
      </x:c>
      <x:c r="AC164" s="68" t="n">
        <x:v>0.1848</x:v>
      </x:c>
      <x:c r="AD164" s="60" t="str">
        <x:v>行业地位 100、同行估值 80</x:v>
      </x:c>
      <x:c r="AE164" s="60" t="str">
        <x:v>盈利能力 57、稳健性 60</x:v>
      </x:c>
    </x:row>
    <x:row r="165" ht="39.599998474121094" hidden="0" customHeight="1">
      <x:c r="A165" s="60" t="str">
        <x:v>历史低估关注</x:v>
      </x:c>
      <x:c r="B165" s="66" t="str">
        <x:v>603868.SH</x:v>
      </x:c>
      <x:c r="C165" s="60" t="str">
        <x:v>飞科电器</x:v>
      </x:c>
      <x:c r="D165" s="60" t="str">
        <x:v>家电</x:v>
      </x:c>
      <x:c r="E165" s="60" t="str">
        <x:v>小家电</x:v>
      </x:c>
      <x:c r="F165" s="60" t="str">
        <x:v>个护小家电</x:v>
      </x:c>
      <x:c r="G165" s="61" t="n">
        <x:v>1</x:v>
      </x:c>
      <x:c r="H165" s="67" t="n">
        <x:v>76.6429</x:v>
      </x:c>
      <x:c r="I165" s="68" t="n">
        <x:v>1</x:v>
      </x:c>
      <x:c r="J165" s="69" t="str">
        <x:v>历史偏低位</x:v>
      </x:c>
      <x:c r="K165" s="69" t="str">
        <x:v>完整</x:v>
      </x:c>
      <x:c r="L165" s="69" t="str">
        <x:v>2026-08-19</x:v>
      </x:c>
      <x:c r="M165" s="69" t="str">
        <x:v>2026-08-24</x:v>
      </x:c>
      <x:c r="N165" s="70" t="n">
        <x:v>29.98</x:v>
      </x:c>
      <x:c r="O165" s="70" t="n">
        <x:v>25.1276</x:v>
      </x:c>
      <x:c r="P165" s="68" t="n">
        <x:v>0.22390000000000002</x:v>
      </x:c>
      <x:c r="Q165" s="70" t="n">
        <x:v>3.7151</x:v>
      </x:c>
      <x:c r="R165" s="68" t="n">
        <x:v>0.0051</x:v>
      </x:c>
      <x:c r="S165" s="68" t="n">
        <x:v>0.016678</x:v>
      </x:c>
      <x:c r="T165" s="68" t="n">
        <x:v>0.5579</x:v>
      </x:c>
      <x:c r="U165" s="68" t="n">
        <x:v>0.2623</x:v>
      </x:c>
      <x:c r="V165" s="71" t="n">
        <x:v>130.16</x:v>
      </x:c>
      <x:c r="W165" s="71" t="n">
        <x:v>8.21003392</x:v>
      </x:c>
      <x:c r="X165" s="71" t="n">
        <x:v>0.54973968</x:v>
      </x:c>
      <x:c r="Y165" s="68" t="n">
        <x:v>0.162</x:v>
      </x:c>
      <x:c r="Z165" s="68" t="n">
        <x:v>0.5670000000000001</x:v>
      </x:c>
      <x:c r="AA165" s="68" t="n">
        <x:v>0.1326</x:v>
      </x:c>
      <x:c r="AB165" s="68" t="n">
        <x:v>2.365210530191308</x:v>
      </x:c>
      <x:c r="AC165" s="68" t="n">
        <x:v>0.16449999999999998</x:v>
      </x:c>
      <x:c r="AD165" s="60" t="str">
        <x:v>盈利能力 96、行业地位 96</x:v>
      </x:c>
      <x:c r="AE165" s="60" t="str">
        <x:v>成长稳定 51、同行估值 56</x:v>
      </x:c>
    </x:row>
    <x:row r="166" ht="39.599998474121094" hidden="0" customHeight="1">
      <x:c r="A166" s="60" t="str">
        <x:v>历史低估关注</x:v>
      </x:c>
      <x:c r="B166" s="66" t="str">
        <x:v>002049.SZ</x:v>
      </x:c>
      <x:c r="C166" s="60" t="str">
        <x:v>紫光国微</x:v>
      </x:c>
      <x:c r="D166" s="60" t="str">
        <x:v>电子</x:v>
      </x:c>
      <x:c r="E166" s="60" t="str">
        <x:v>半导体</x:v>
      </x:c>
      <x:c r="F166" s="60" t="str">
        <x:v>集成电路设计</x:v>
      </x:c>
      <x:c r="G166" s="61" t="n">
        <x:v>2</x:v>
      </x:c>
      <x:c r="H166" s="67" t="n">
        <x:v>76.6254</x:v>
      </x:c>
      <x:c r="I166" s="68" t="n">
        <x:v>1</x:v>
      </x:c>
      <x:c r="J166" s="69" t="str">
        <x:v>历史偏低位</x:v>
      </x:c>
      <x:c r="K166" s="69" t="str">
        <x:v>完整</x:v>
      </x:c>
      <x:c r="L166" s="69" t="str">
        <x:v>2026-08-19</x:v>
      </x:c>
      <x:c r="M166" s="69" t="str">
        <x:v>2026-08-24</x:v>
      </x:c>
      <x:c r="N166" s="70" t="n">
        <x:v>62.27</x:v>
      </x:c>
      <x:c r="O166" s="70" t="n">
        <x:v>31.7818</x:v>
      </x:c>
      <x:c r="P166" s="68" t="n">
        <x:v>0.292</x:v>
      </x:c>
      <x:c r="Q166" s="70" t="n">
        <x:v>3.724</x:v>
      </x:c>
      <x:c r="R166" s="68" t="n">
        <x:v>0.04650000000000001</x:v>
      </x:c>
      <x:c r="S166" s="68" t="n">
        <x:v>0.004978</x:v>
      </x:c>
      <x:c r="T166" s="68" t="n">
        <x:v>0.2571</x:v>
      </x:c>
      <x:c r="U166" s="68" t="n">
        <x:v>0.1985</x:v>
      </x:c>
      <x:c r="V166" s="71" t="n">
        <x:v>514.29</x:v>
      </x:c>
      <x:c r="W166" s="71" t="n">
        <x:v>12.4137024</x:v>
      </x:c>
      <x:c r="X166" s="71" t="n">
        <x:v>1.74324368</x:v>
      </x:c>
      <x:c r="Y166" s="68" t="n">
        <x:v>0.111</x:v>
      </x:c>
      <x:c r="Z166" s="68" t="n">
        <x:v>0.5556</x:v>
      </x:c>
      <x:c r="AA166" s="68" t="n">
        <x:v>0.23370000000000002</x:v>
      </x:c>
      <x:c r="AB166" s="68" t="n">
        <x:v>2.7593366407615485</x:v>
      </x:c>
      <x:c r="AC166" s="68" t="n">
        <x:v>0.27399999999999997</x:v>
      </x:c>
      <x:c r="AD166" s="60" t="str">
        <x:v>盈利能力 86、现金流 83</x:v>
      </x:c>
      <x:c r="AE166" s="60" t="str">
        <x:v>成长稳定 57、稳健性 59</x:v>
      </x:c>
    </x:row>
    <x:row r="167" ht="39.599998474121094" hidden="0" customHeight="1">
      <x:c r="A167" s="60" t="str">
        <x:v>历史低估关注</x:v>
      </x:c>
      <x:c r="B167" s="66" t="str">
        <x:v>002215.SZ</x:v>
      </x:c>
      <x:c r="C167" s="60" t="str">
        <x:v>诺 普 信</x:v>
      </x:c>
      <x:c r="D167" s="60" t="str">
        <x:v>化工</x:v>
      </x:c>
      <x:c r="E167" s="60" t="str">
        <x:v>农用化工</x:v>
      </x:c>
      <x:c r="F167" s="60" t="str">
        <x:v>农药</x:v>
      </x:c>
      <x:c r="G167" s="61" t="n">
        <x:v>1</x:v>
      </x:c>
      <x:c r="H167" s="67" t="n">
        <x:v>76.5186</x:v>
      </x:c>
      <x:c r="I167" s="68" t="n">
        <x:v>1</x:v>
      </x:c>
      <x:c r="J167" s="69" t="str">
        <x:v>历史偏低位</x:v>
      </x:c>
      <x:c r="K167" s="69" t="str">
        <x:v>完整</x:v>
      </x:c>
      <x:c r="L167" s="69" t="str">
        <x:v>2026-08-19</x:v>
      </x:c>
      <x:c r="M167" s="69" t="str">
        <x:v>2026-08-24</x:v>
      </x:c>
      <x:c r="N167" s="70" t="n">
        <x:v>9.11</x:v>
      </x:c>
      <x:c r="O167" s="70" t="n">
        <x:v>11.789</x:v>
      </x:c>
      <x:c r="P167" s="68" t="n">
        <x:v>0.0323</x:v>
      </x:c>
      <x:c r="Q167" s="70" t="n">
        <x:v>1.8745</x:v>
      </x:c>
      <x:c r="R167" s="68" t="n">
        <x:v>0.25780000000000003</x:v>
      </x:c>
      <x:c r="S167" s="68" t="n">
        <x:v>0.032931</x:v>
      </x:c>
      <x:c r="T167" s="68" t="n">
        <x:v>0.21050000000000002</x:v>
      </x:c>
      <x:c r="U167" s="68" t="n">
        <x:v>0.16690000000000002</x:v>
      </x:c>
      <x:c r="V167" s="71" t="n">
        <x:v>95</x:v>
      </x:c>
      <x:c r="W167" s="71" t="n">
        <x:v>16.96707328</x:v>
      </x:c>
      <x:c r="X167" s="71" t="n">
        <x:v>0.74888216</x:v>
      </x:c>
      <x:c r="Y167" s="68" t="n">
        <x:v>0.16449999999999998</x:v>
      </x:c>
      <x:c r="Z167" s="68" t="n">
        <x:v>0.37439999999999996</x:v>
      </x:c>
      <x:c r="AA167" s="68" t="n">
        <x:v>0.1103</x:v>
      </x:c>
      <x:c r="AB167" s="68" t="n">
        <x:v>20.253147010472247</x:v>
      </x:c>
      <x:c r="AC167" s="68" t="n">
        <x:v>0.6333</x:v>
      </x:c>
      <x:c r="AD167" s="60" t="str">
        <x:v>盈利能力 92、现金流 88</x:v>
      </x:c>
      <x:c r="AE167" s="60" t="str">
        <x:v>稳健性 28、同行估值 76</x:v>
      </x:c>
    </x:row>
    <x:row r="168" ht="39.599998474121094" hidden="0" customHeight="1">
      <x:c r="A168" s="60" t="str">
        <x:v>历史低估关注</x:v>
      </x:c>
      <x:c r="B168" s="66" t="str">
        <x:v>000708.SZ</x:v>
      </x:c>
      <x:c r="C168" s="60" t="str">
        <x:v>中信特钢</x:v>
      </x:c>
      <x:c r="D168" s="60" t="str">
        <x:v>钢铁</x:v>
      </x:c>
      <x:c r="E168" s="60" t="str">
        <x:v>特钢</x:v>
      </x:c>
      <x:c r="F168" s="60" t="str">
        <x:v>特钢</x:v>
      </x:c>
      <x:c r="G168" s="61" t="n">
        <x:v>2</x:v>
      </x:c>
      <x:c r="H168" s="67" t="n">
        <x:v>76.5</x:v>
      </x:c>
      <x:c r="I168" s="68" t="n">
        <x:v>1</x:v>
      </x:c>
      <x:c r="J168" s="69" t="str">
        <x:v>历史偏低位</x:v>
      </x:c>
      <x:c r="K168" s="69" t="str">
        <x:v>完整</x:v>
      </x:c>
      <x:c r="L168" s="69" t="str">
        <x:v>2026-08-19</x:v>
      </x:c>
      <x:c r="M168" s="69" t="str">
        <x:v>2026-08-24</x:v>
      </x:c>
      <x:c r="N168" s="70" t="n">
        <x:v>14.04</x:v>
      </x:c>
      <x:c r="O168" s="70" t="n">
        <x:v>11.7004</x:v>
      </x:c>
      <x:c r="P168" s="68" t="n">
        <x:v>0.2798</x:v>
      </x:c>
      <x:c r="Q168" s="70" t="n">
        <x:v>1.5714</x:v>
      </x:c>
      <x:c r="R168" s="68" t="n">
        <x:v>0.2275</x:v>
      </x:c>
      <x:c r="S168" s="68" t="n">
        <x:v>0.046010999999999996</x:v>
      </x:c>
      <x:c r="T168" s="68" t="n">
        <x:v>0.3518</x:v>
      </x:c>
      <x:c r="U168" s="68" t="n">
        <x:v>0.2864</x:v>
      </x:c>
      <x:c r="V168" s="71" t="n">
        <x:v>703.57</x:v>
      </x:c>
      <x:c r="W168" s="71" t="n">
        <x:v>261.6743936</x:v>
      </x:c>
      <x:c r="X168" s="71" t="n">
        <x:v>15.9836032</x:v>
      </x:c>
      <x:c r="Y168" s="68" t="n">
        <x:v>0.1408</x:v>
      </x:c>
      <x:c r="Z168" s="68" t="n">
        <x:v>0.1494</x:v>
      </x:c>
      <x:c r="AA168" s="68" t="n">
        <x:v>0.0564</x:v>
      </x:c>
      <x:c r="AB168" s="68" t="n">
        <x:v>3.500997422158228</x:v>
      </x:c>
      <x:c r="AC168" s="68" t="n">
        <x:v>0.5878</x:v>
      </x:c>
      <x:c r="AD168" s="60" t="str">
        <x:v>行业地位 100、同行估值 76</x:v>
      </x:c>
      <x:c r="AE168" s="60" t="str">
        <x:v>稳健性 43、现金流 69</x:v>
      </x:c>
    </x:row>
    <x:row r="169" ht="39.599998474121094" hidden="0" customHeight="1">
      <x:c r="A169" s="60" t="str">
        <x:v>历史低估关注</x:v>
      </x:c>
      <x:c r="B169" s="66" t="str">
        <x:v>002249.SZ</x:v>
      </x:c>
      <x:c r="C169" s="60" t="str">
        <x:v>大洋电机</x:v>
      </x:c>
      <x:c r="D169" s="60" t="str">
        <x:v>电力设备</x:v>
      </x:c>
      <x:c r="E169" s="60" t="str">
        <x:v>电机制造</x:v>
      </x:c>
      <x:c r="F169" s="60" t="str">
        <x:v>电机制造</x:v>
      </x:c>
      <x:c r="G169" s="61" t="n">
        <x:v>1</x:v>
      </x:c>
      <x:c r="H169" s="67" t="n">
        <x:v>76.4815</x:v>
      </x:c>
      <x:c r="I169" s="68" t="n">
        <x:v>1</x:v>
      </x:c>
      <x:c r="J169" s="69" t="str">
        <x:v>历史偏低位</x:v>
      </x:c>
      <x:c r="K169" s="69" t="str">
        <x:v>完整</x:v>
      </x:c>
      <x:c r="L169" s="69" t="str">
        <x:v>2026-08-19</x:v>
      </x:c>
      <x:c r="M169" s="69" t="str">
        <x:v>2026-08-24</x:v>
      </x:c>
      <x:c r="N169" s="70" t="n">
        <x:v>6.99</x:v>
      </x:c>
      <x:c r="O169" s="70" t="n">
        <x:v>15.716</x:v>
      </x:c>
      <x:c r="P169" s="68" t="n">
        <x:v>0.0053</x:v>
      </x:c>
      <x:c r="Q169" s="70" t="n">
        <x:v>1.6994</x:v>
      </x:c>
      <x:c r="R169" s="68" t="n">
        <x:v>0.5661999999999999</x:v>
      </x:c>
      <x:c r="S169" s="68" t="n">
        <x:v>0.042346</x:v>
      </x:c>
      <x:c r="T169" s="68" t="n">
        <x:v>0.107</x:v>
      </x:c>
      <x:c r="U169" s="68" t="n">
        <x:v>0.2262</x:v>
      </x:c>
      <x:c r="V169" s="71" t="n">
        <x:v>171.21</x:v>
      </x:c>
      <x:c r="W169" s="71" t="n">
        <x:v>30.40900608</x:v>
      </x:c>
      <x:c r="X169" s="71" t="n">
        <x:v>2.3812928</x:v>
      </x:c>
      <x:c r="Y169" s="68" t="n">
        <x:v>0.1104</x:v>
      </x:c>
      <x:c r="Z169" s="68" t="n">
        <x:v>0.2234</x:v>
      </x:c>
      <x:c r="AA169" s="68" t="n">
        <x:v>0.0946</x:v>
      </x:c>
      <x:c r="AB169" s="68" t="n">
        <x:v>4.547611919038264</x:v>
      </x:c>
      <x:c r="AC169" s="68" t="n">
        <x:v>0.4618</x:v>
      </x:c>
      <x:c r="AD169" s="60" t="str">
        <x:v>同行估值 97、行业地位 93</x:v>
      </x:c>
      <x:c r="AE169" s="60" t="str">
        <x:v>稳健性 38、成长稳定 56</x:v>
      </x:c>
    </x:row>
    <x:row r="170" ht="39.599998474121094" hidden="0" customHeight="1">
      <x:c r="A170" s="60" t="str">
        <x:v>历史低估关注</x:v>
      </x:c>
      <x:c r="B170" s="66" t="str">
        <x:v>002801.SZ</x:v>
      </x:c>
      <x:c r="C170" s="60" t="str">
        <x:v>微光股份</x:v>
      </x:c>
      <x:c r="D170" s="60" t="str">
        <x:v>电力设备</x:v>
      </x:c>
      <x:c r="E170" s="60" t="str">
        <x:v>电机制造</x:v>
      </x:c>
      <x:c r="F170" s="60" t="str">
        <x:v>电机制造</x:v>
      </x:c>
      <x:c r="G170" s="61" t="n">
        <x:v>2</x:v>
      </x:c>
      <x:c r="H170" s="67" t="n">
        <x:v>76.412</x:v>
      </x:c>
      <x:c r="I170" s="68" t="n">
        <x:v>1</x:v>
      </x:c>
      <x:c r="J170" s="69" t="str">
        <x:v>历史偏低位</x:v>
      </x:c>
      <x:c r="K170" s="69" t="str">
        <x:v>完整</x:v>
      </x:c>
      <x:c r="L170" s="69" t="str">
        <x:v>2026-08-19</x:v>
      </x:c>
      <x:c r="M170" s="69" t="str">
        <x:v>2026-08-24</x:v>
      </x:c>
      <x:c r="N170" s="70" t="n">
        <x:v>26.53</x:v>
      </x:c>
      <x:c r="O170" s="70" t="n">
        <x:v>14.6582</x:v>
      </x:c>
      <x:c r="P170" s="68" t="n">
        <x:v>0.0053</x:v>
      </x:c>
      <x:c r="Q170" s="70" t="n">
        <x:v>2.9835</x:v>
      </x:c>
      <x:c r="R170" s="68" t="n">
        <x:v>0.0993</x:v>
      </x:c>
      <x:c r="S170" s="68" t="n">
        <x:v>0.018847</x:v>
      </x:c>
      <x:c r="T170" s="68" t="n">
        <x:v>0.45799999999999996</x:v>
      </x:c>
      <x:c r="U170" s="68" t="n">
        <x:v>0.1875</x:v>
      </x:c>
      <x:c r="V170" s="71" t="n">
        <x:v>60.67</x:v>
      </x:c>
      <x:c r="W170" s="71" t="n">
        <x:v>3.69561184</x:v>
      </x:c>
      <x:c r="X170" s="71" t="n">
        <x:v>0.73567224</x:v>
      </x:c>
      <x:c r="Y170" s="68" t="n">
        <x:v>0.2051</x:v>
      </x:c>
      <x:c r="Z170" s="68" t="n">
        <x:v>0.303</x:v>
      </x:c>
      <x:c r="AA170" s="68" t="n">
        <x:v>0.24710000000000001</x:v>
      </x:c>
      <x:c r="AB170" s="68" t="n">
        <x:v>1.1997483009553276</x:v>
      </x:c>
      <x:c r="AC170" s="68" t="n">
        <x:v>0.16449999999999998</x:v>
      </x:c>
      <x:c r="AD170" s="60" t="str">
        <x:v>盈利能力 95、成长稳定 82</x:v>
      </x:c>
      <x:c r="AE170" s="60" t="str">
        <x:v>现金流 60、行业地位 68</x:v>
      </x:c>
    </x:row>
    <x:row r="171" ht="39.599998474121094" hidden="0" customHeight="1">
      <x:c r="A171" s="60" t="str">
        <x:v>历史低估关注</x:v>
      </x:c>
      <x:c r="B171" s="66" t="str">
        <x:v>300019.SZ</x:v>
      </x:c>
      <x:c r="C171" s="60" t="str">
        <x:v>硅宝科技</x:v>
      </x:c>
      <x:c r="D171" s="60" t="str">
        <x:v>化工</x:v>
      </x:c>
      <x:c r="E171" s="60" t="str">
        <x:v>化学制品</x:v>
      </x:c>
      <x:c r="F171" s="60" t="str">
        <x:v>有机硅</x:v>
      </x:c>
      <x:c r="G171" s="61" t="n">
        <x:v>1</x:v>
      </x:c>
      <x:c r="H171" s="67" t="n">
        <x:v>76.3571</x:v>
      </x:c>
      <x:c r="I171" s="68" t="n">
        <x:v>1</x:v>
      </x:c>
      <x:c r="J171" s="69" t="str">
        <x:v>历史偏低位</x:v>
      </x:c>
      <x:c r="K171" s="69" t="str">
        <x:v>完整</x:v>
      </x:c>
      <x:c r="L171" s="69" t="str">
        <x:v>2026-08-19</x:v>
      </x:c>
      <x:c r="M171" s="69" t="str">
        <x:v>2026-08-24</x:v>
      </x:c>
      <x:c r="N171" s="70" t="n">
        <x:v>14.62</x:v>
      </x:c>
      <x:c r="O171" s="70" t="n">
        <x:v>22.6628</x:v>
      </x:c>
      <x:c r="P171" s="68" t="n">
        <x:v>0.2741</x:v>
      </x:c>
      <x:c r="Q171" s="70" t="n">
        <x:v>2.0864</x:v>
      </x:c>
      <x:c r="R171" s="68" t="n">
        <x:v>0.0821</x:v>
      </x:c>
      <x:c r="S171" s="68" t="n">
        <x:v>0.02052</x:v>
      </x:c>
      <x:c r="T171" s="68" t="n">
        <x:v>0.1631</x:v>
      </x:c>
      <x:c r="U171" s="68" t="n">
        <x:v>0.17309999999999998</x:v>
      </x:c>
      <x:c r="V171" s="71" t="n">
        <x:v>55.23</x:v>
      </x:c>
      <x:c r="W171" s="71" t="n">
        <x:v>11.0046976</x:v>
      </x:c>
      <x:c r="X171" s="71" t="n">
        <x:v>0.49466172</x:v>
      </x:c>
      <x:c r="Y171" s="68" t="n">
        <x:v>0.1059</x:v>
      </x:c>
      <x:c r="Z171" s="68" t="n">
        <x:v>0.2104</x:v>
      </x:c>
      <x:c r="AA171" s="68" t="n">
        <x:v>0.0742</x:v>
      </x:c>
      <x:c r="AB171" s="68" t="n">
        <x:v>5.7701422297241844</x:v>
      </x:c>
      <x:c r="AC171" s="68" t="n">
        <x:v>0.3396</x:v>
      </x:c>
      <x:c r="AD171" s="60" t="str">
        <x:v>现金流 99、成长稳定 83</x:v>
      </x:c>
      <x:c r="AE171" s="60" t="str">
        <x:v>行业地位 55、稳健性 69</x:v>
      </x:c>
    </x:row>
    <x:row r="172" ht="39.599998474121094" hidden="0" customHeight="1">
      <x:c r="A172" s="60" t="str">
        <x:v>历史低估关注</x:v>
      </x:c>
      <x:c r="B172" s="66" t="str">
        <x:v>603889.SH</x:v>
      </x:c>
      <x:c r="C172" s="60" t="str">
        <x:v>新澳股份</x:v>
      </x:c>
      <x:c r="D172" s="60" t="str">
        <x:v>纺织服饰</x:v>
      </x:c>
      <x:c r="E172" s="60" t="str">
        <x:v>纺织制造</x:v>
      </x:c>
      <x:c r="F172" s="60" t="str">
        <x:v>其他纺织</x:v>
      </x:c>
      <x:c r="G172" s="61" t="n">
        <x:v>1</x:v>
      </x:c>
      <x:c r="H172" s="67" t="n">
        <x:v>76.2178</x:v>
      </x:c>
      <x:c r="I172" s="68" t="n">
        <x:v>1</x:v>
      </x:c>
      <x:c r="J172" s="69" t="str">
        <x:v>历史偏低位</x:v>
      </x:c>
      <x:c r="K172" s="69" t="str">
        <x:v>完整</x:v>
      </x:c>
      <x:c r="L172" s="69" t="str">
        <x:v>2026-08-19</x:v>
      </x:c>
      <x:c r="M172" s="69" t="str">
        <x:v>2026-08-24</x:v>
      </x:c>
      <x:c r="N172" s="70" t="n">
        <x:v>5.61</x:v>
      </x:c>
      <x:c r="O172" s="70" t="n">
        <x:v>10.6722</x:v>
      </x:c>
      <x:c r="P172" s="68" t="n">
        <x:v>0.3382</x:v>
      </x:c>
      <x:c r="Q172" s="70" t="n">
        <x:v>1.3972</x:v>
      </x:c>
      <x:c r="R172" s="68" t="n">
        <x:v>0.423</x:v>
      </x:c>
      <x:c r="S172" s="68" t="n">
        <x:v>0.062389</x:v>
      </x:c>
      <x:c r="T172" s="68" t="n">
        <x:v>0.0281</x:v>
      </x:c>
      <x:c r="U172" s="68" t="n">
        <x:v>0.2631</x:v>
      </x:c>
      <x:c r="V172" s="71" t="n">
        <x:v>53.25</x:v>
      </x:c>
      <x:c r="W172" s="71" t="n">
        <x:v>11.57731584</x:v>
      </x:c>
      <x:c r="X172" s="71" t="n">
        <x:v>1.027128</x:v>
      </x:c>
      <x:c r="Y172" s="68" t="n">
        <x:v>0.136</x:v>
      </x:c>
      <x:c r="Z172" s="68" t="n">
        <x:v>0.1996</x:v>
      </x:c>
      <x:c r="AA172" s="68" t="n">
        <x:v>0.10220000000000001</x:v>
      </x:c>
      <x:c r="AB172" s="68" t="n">
        <x:v>1.7106336113902065</x:v>
      </x:c>
      <x:c r="AC172" s="68" t="n">
        <x:v>0.3654</x:v>
      </x:c>
      <x:c r="AD172" s="60" t="str">
        <x:v>同行估值 93、行业地位 88</x:v>
      </x:c>
      <x:c r="AE172" s="60" t="str">
        <x:v>现金流 39、稳健性 67</x:v>
      </x:c>
    </x:row>
    <x:row r="173" ht="39.599998474121094" hidden="0" customHeight="1">
      <x:c r="A173" s="60" t="str">
        <x:v>历史低估关注</x:v>
      </x:c>
      <x:c r="B173" s="66" t="str">
        <x:v>603799.SH</x:v>
      </x:c>
      <x:c r="C173" s="60" t="str">
        <x:v>华友钴业</x:v>
      </x:c>
      <x:c r="D173" s="60" t="str">
        <x:v>有色</x:v>
      </x:c>
      <x:c r="E173" s="60" t="str">
        <x:v>能源金属</x:v>
      </x:c>
      <x:c r="F173" s="60" t="str">
        <x:v>钴</x:v>
      </x:c>
      <x:c r="G173" s="61" t="n">
        <x:v>1</x:v>
      </x:c>
      <x:c r="H173" s="67" t="n">
        <x:v>76.125</x:v>
      </x:c>
      <x:c r="I173" s="68" t="n">
        <x:v>1</x:v>
      </x:c>
      <x:c r="J173" s="69" t="str">
        <x:v>历史偏低位</x:v>
      </x:c>
      <x:c r="K173" s="69" t="str">
        <x:v>完整</x:v>
      </x:c>
      <x:c r="L173" s="69" t="str">
        <x:v>2026-08-19</x:v>
      </x:c>
      <x:c r="M173" s="69" t="str">
        <x:v>2026-08-24</x:v>
      </x:c>
      <x:c r="N173" s="70" t="n">
        <x:v>39.55</x:v>
      </x:c>
      <x:c r="O173" s="70" t="n">
        <x:v>10.1813</x:v>
      </x:c>
      <x:c r="P173" s="68" t="n">
        <x:v>0.0051</x:v>
      </x:c>
      <x:c r="Q173" s="70" t="n">
        <x:v>1.4827</x:v>
      </x:c>
      <x:c r="R173" s="68" t="n">
        <x:v>0.18420000000000003</x:v>
      </x:c>
      <x:c r="S173" s="68" t="n">
        <x:v>0.012642</x:v>
      </x:c>
      <x:c r="T173" s="68" t="n">
        <x:v>0.2334</x:v>
      </x:c>
      <x:c r="U173" s="68" t="n">
        <x:v>0.1409</x:v>
      </x:c>
      <x:c r="V173" s="71" t="n">
        <x:v>761.2</x:v>
      </x:c>
      <x:c r="W173" s="71" t="n">
        <x:v>220.77913088</x:v>
      </x:c>
      <x:c r="X173" s="71" t="n">
        <x:v>18.94167552</x:v>
      </x:c>
      <x:c r="Y173" s="68" t="n">
        <x:v>0.13699999999999998</x:v>
      </x:c>
      <x:c r="Z173" s="68" t="n">
        <x:v>0.1747</x:v>
      </x:c>
      <x:c r="AA173" s="68" t="n">
        <x:v>0.0928</x:v>
      </x:c>
      <x:c r="AB173" s="68" t="n">
        <x:v>-0.08832363315660893</x:v>
      </x:c>
      <x:c r="AC173" s="68" t="n">
        <x:v>0.6185</x:v>
      </x:c>
      <x:c r="AD173" s="60" t="str">
        <x:v>行业地位 100、同行估值 90</x:v>
      </x:c>
      <x:c r="AE173" s="60" t="str">
        <x:v>稳健性 10、盈利能力 70</x:v>
      </x:c>
    </x:row>
    <x:row r="174" ht="39.599998474121094" hidden="0" customHeight="1">
      <x:c r="A174" s="60" t="str">
        <x:v>历史低估关注</x:v>
      </x:c>
      <x:c r="B174" s="66" t="str">
        <x:v>300699.SZ</x:v>
      </x:c>
      <x:c r="C174" s="60" t="str">
        <x:v>光威复材</x:v>
      </x:c>
      <x:c r="D174" s="60" t="str">
        <x:v>化工</x:v>
      </x:c>
      <x:c r="E174" s="60" t="str">
        <x:v>化纤</x:v>
      </x:c>
      <x:c r="F174" s="60" t="str">
        <x:v>碳纤维</x:v>
      </x:c>
      <x:c r="G174" s="61" t="n">
        <x:v>1</x:v>
      </x:c>
      <x:c r="H174" s="67" t="n">
        <x:v>76.0833</x:v>
      </x:c>
      <x:c r="I174" s="68" t="n">
        <x:v>1</x:v>
      </x:c>
      <x:c r="J174" s="69" t="str">
        <x:v>历史偏低位</x:v>
      </x:c>
      <x:c r="K174" s="69" t="str">
        <x:v>完整</x:v>
      </x:c>
      <x:c r="L174" s="69" t="str">
        <x:v>2026-08-19</x:v>
      </x:c>
      <x:c r="M174" s="69" t="str">
        <x:v>2026-08-24</x:v>
      </x:c>
      <x:c r="N174" s="70" t="n">
        <x:v>24.57</x:v>
      </x:c>
      <x:c r="O174" s="70" t="n">
        <x:v>35.8364</x:v>
      </x:c>
      <x:c r="P174" s="68" t="n">
        <x:v>0.48979999999999996</x:v>
      </x:c>
      <x:c r="Q174" s="70" t="n">
        <x:v>3.5191</x:v>
      </x:c>
      <x:c r="R174" s="68" t="n">
        <x:v>0.0053</x:v>
      </x:c>
      <x:c r="S174" s="68" t="n">
        <x:v>0.02035</x:v>
      </x:c>
      <x:c r="T174" s="68" t="n">
        <x:v>0.23440000000000003</x:v>
      </x:c>
      <x:c r="U174" s="68" t="n">
        <x:v>0.2432</x:v>
      </x:c>
      <x:c r="V174" s="71" t="n">
        <x:v>199.44</x:v>
      </x:c>
      <x:c r="W174" s="71" t="n">
        <x:v>8.73376</x:v>
      </x:c>
      <x:c r="X174" s="71" t="n">
        <x:v>1.88532064</x:v>
      </x:c>
      <x:c r="Y174" s="68" t="n">
        <x:v>0.1074</x:v>
      </x:c>
      <x:c r="Z174" s="68" t="n">
        <x:v>0.39799999999999996</x:v>
      </x:c>
      <x:c r="AA174" s="68" t="n">
        <x:v>0.2096</x:v>
      </x:c>
      <x:c r="AB174" s="68" t="n">
        <x:v>5.339195098399814</x:v>
      </x:c>
      <x:c r="AC174" s="68" t="n">
        <x:v>0.37229999999999996</x:v>
      </x:c>
      <x:c r="AD174" s="60" t="str">
        <x:v>行业地位 87、稳健性 82</x:v>
      </x:c>
      <x:c r="AE174" s="60" t="str">
        <x:v>现金流 47、成长稳定 75</x:v>
      </x:c>
    </x:row>
    <x:row r="175" ht="52.79999923706055" hidden="0" customHeight="1">
      <x:c r="A175" s="60" t="str">
        <x:v>历史低估关注</x:v>
      </x:c>
      <x:c r="B175" s="66" t="str">
        <x:v>600826.SH</x:v>
      </x:c>
      <x:c r="C175" s="60" t="str">
        <x:v>兰生股份</x:v>
      </x:c>
      <x:c r="D175" s="60" t="str">
        <x:v>社会服务</x:v>
      </x:c>
      <x:c r="E175" s="60" t="str">
        <x:v>专业服务</x:v>
      </x:c>
      <x:c r="F175" s="60" t="str">
        <x:v>会展服务</x:v>
      </x:c>
      <x:c r="G175" s="61" t="n">
        <x:v>1</x:v>
      </x:c>
      <x:c r="H175" s="67" t="n">
        <x:v>76</x:v>
      </x:c>
      <x:c r="I175" s="68" t="n">
        <x:v>1</x:v>
      </x:c>
      <x:c r="J175" s="69" t="str">
        <x:v>历史偏低位</x:v>
      </x:c>
      <x:c r="K175" s="69" t="str">
        <x:v>完整</x:v>
      </x:c>
      <x:c r="L175" s="69" t="str">
        <x:v>2026-08-19</x:v>
      </x:c>
      <x:c r="M175" s="69" t="str">
        <x:v>2026-08-24</x:v>
      </x:c>
      <x:c r="N175" s="70" t="n">
        <x:v>7.7</x:v>
      </x:c>
      <x:c r="O175" s="70" t="n">
        <x:v>16.5424</x:v>
      </x:c>
      <x:c r="P175" s="68" t="n">
        <x:v>0.1559</x:v>
      </x:c>
      <x:c r="Q175" s="70" t="n">
        <x:v>1.2858</x:v>
      </x:c>
      <x:c r="R175" s="68" t="n">
        <x:v>0.4293</x:v>
      </x:c>
      <x:c r="S175" s="68" t="n">
        <x:v>0.038961</x:v>
      </x:c>
      <x:c r="T175" s="68" t="n">
        <x:v>0.1673</x:v>
      </x:c>
      <x:c r="U175" s="68" t="n">
        <x:v>0.25079999999999997</x:v>
      </x:c>
      <x:c r="V175" s="71" t="n">
        <x:v>57.07</x:v>
      </x:c>
      <x:c r="W175" s="71" t="n">
        <x:v>6.01241088</x:v>
      </x:c>
      <x:c r="X175" s="71" t="n">
        <x:v>1.44619664</x:v>
      </x:c>
      <x:c r="Y175" s="68" t="n">
        <x:v>0.07429999999999999</x:v>
      </x:c>
      <x:c r="Z175" s="68" t="n">
        <x:v>0.3663</x:v>
      </x:c>
      <x:c r="AA175" s="68" t="n">
        <x:v>0.22089999999999999</x:v>
      </x:c>
      <x:c r="AB175" s="68" t="n">
        <x:v>0.30221895689095224</x:v>
      </x:c>
      <x:c r="AC175" s="68" t="n">
        <x:v>0.2192</x:v>
      </x:c>
      <x:c r="AD175" s="60" t="str">
        <x:v>同行估值 100、行业地位 100</x:v>
      </x:c>
      <x:c r="AE175" s="60" t="str">
        <x:v>稳健性 50、成长稳定 50</x:v>
      </x:c>
    </x:row>
    <x:row r="176" ht="39.599998474121094" hidden="0" customHeight="1">
      <x:c r="A176" s="60" t="str">
        <x:v>历史低估关注</x:v>
      </x:c>
      <x:c r="B176" s="66" t="str">
        <x:v>300760.SZ</x:v>
      </x:c>
      <x:c r="C176" s="60" t="str">
        <x:v>迈瑞医疗</x:v>
      </x:c>
      <x:c r="D176" s="60" t="str">
        <x:v>医药医疗</x:v>
      </x:c>
      <x:c r="E176" s="60" t="str">
        <x:v>医疗器械</x:v>
      </x:c>
      <x:c r="F176" s="60" t="str">
        <x:v>医疗设备</x:v>
      </x:c>
      <x:c r="G176" s="61" t="n">
        <x:v>1</x:v>
      </x:c>
      <x:c r="H176" s="67" t="n">
        <x:v>75.8257</x:v>
      </x:c>
      <x:c r="I176" s="68" t="n">
        <x:v>1</x:v>
      </x:c>
      <x:c r="J176" s="69" t="str">
        <x:v>历史偏低位</x:v>
      </x:c>
      <x:c r="K176" s="69" t="str">
        <x:v>完整</x:v>
      </x:c>
      <x:c r="L176" s="69" t="str">
        <x:v>2026-08-19</x:v>
      </x:c>
      <x:c r="M176" s="69" t="str">
        <x:v>2026-08-24</x:v>
      </x:c>
      <x:c r="N176" s="70" t="n">
        <x:v>150.63</x:v>
      </x:c>
      <x:c r="O176" s="70" t="n">
        <x:v>23.2917</x:v>
      </x:c>
      <x:c r="P176" s="68" t="n">
        <x:v>0.0739</x:v>
      </x:c>
      <x:c r="Q176" s="70" t="n">
        <x:v>4.5508</x:v>
      </x:c>
      <x:c r="R176" s="68" t="n">
        <x:v>0.0331</x:v>
      </x:c>
      <x:c r="S176" s="68" t="n">
        <x:v>0.028016</x:v>
      </x:c>
      <x:c r="T176" s="68" t="n">
        <x:v>0.3387</x:v>
      </x:c>
      <x:c r="U176" s="68" t="n">
        <x:v>0.14859999999999998</x:v>
      </x:c>
      <x:c r="V176" s="71" t="n">
        <x:v>1922.88</x:v>
      </x:c>
      <x:c r="W176" s="71" t="n">
        <x:v>74.48252928</x:v>
      </x:c>
      <x:c r="X176" s="71" t="n">
        <x:v>5.6573088</x:v>
      </x:c>
      <x:c r="Y176" s="68" t="n">
        <x:v>0.2158</x:v>
      </x:c>
      <x:c r="Z176" s="68" t="n">
        <x:v>0.6032</x:v>
      </x:c>
      <x:c r="AA176" s="68" t="n">
        <x:v>0.2539</x:v>
      </x:c>
      <x:c r="AB176" s="68" t="n">
        <x:v>5.076810175184356</x:v>
      </x:c>
      <x:c r="AC176" s="68" t="n">
        <x:v>0.2743</x:v>
      </x:c>
      <x:c r="AD176" s="60" t="str">
        <x:v>行业地位 99、盈利能力 84</x:v>
      </x:c>
      <x:c r="AE176" s="60" t="str">
        <x:v>稳健性 46、成长稳定 62</x:v>
      </x:c>
    </x:row>
    <x:row r="177" ht="39.599998474121094" hidden="0" customHeight="1">
      <x:c r="A177" s="60" t="str">
        <x:v>历史低估关注</x:v>
      </x:c>
      <x:c r="B177" s="66" t="str">
        <x:v>603112.SH</x:v>
      </x:c>
      <x:c r="C177" s="60" t="str">
        <x:v>华翔股份</x:v>
      </x:c>
      <x:c r="D177" s="60" t="str">
        <x:v>机械设备</x:v>
      </x:c>
      <x:c r="E177" s="60" t="str">
        <x:v>通用设备</x:v>
      </x:c>
      <x:c r="F177" s="60" t="str">
        <x:v>金属制品</x:v>
      </x:c>
      <x:c r="G177" s="61" t="n">
        <x:v>1</x:v>
      </x:c>
      <x:c r="H177" s="67" t="n">
        <x:v>75.6748</x:v>
      </x:c>
      <x:c r="I177" s="68" t="n">
        <x:v>1</x:v>
      </x:c>
      <x:c r="J177" s="69" t="str">
        <x:v>历史偏低位</x:v>
      </x:c>
      <x:c r="K177" s="69" t="str">
        <x:v>完整</x:v>
      </x:c>
      <x:c r="L177" s="69" t="str">
        <x:v>2026-08-19</x:v>
      </x:c>
      <x:c r="M177" s="69" t="str">
        <x:v>2026-08-24</x:v>
      </x:c>
      <x:c r="N177" s="70" t="n">
        <x:v>16.15</x:v>
      </x:c>
      <x:c r="O177" s="70" t="n">
        <x:v>15.2532</x:v>
      </x:c>
      <x:c r="P177" s="68" t="n">
        <x:v>0.2447</x:v>
      </x:c>
      <x:c r="Q177" s="70" t="n">
        <x:v>1.9286</x:v>
      </x:c>
      <x:c r="R177" s="68" t="n">
        <x:v>0.2109</x:v>
      </x:c>
      <x:c r="S177" s="68" t="n">
        <x:v>0.02613</x:v>
      </x:c>
      <x:c r="T177" s="68" t="n">
        <x:v>0.22399999999999998</x:v>
      </x:c>
      <x:c r="U177" s="68" t="n">
        <x:v>0.22649999999999998</x:v>
      </x:c>
      <x:c r="V177" s="71" t="n">
        <x:v>86.18</x:v>
      </x:c>
      <x:c r="W177" s="71" t="n">
        <x:v>11.4467776</x:v>
      </x:c>
      <x:c r="X177" s="71" t="n">
        <x:v>1.52130448</x:v>
      </x:c>
      <x:c r="Y177" s="68" t="n">
        <x:v>0.1418</x:v>
      </x:c>
      <x:c r="Z177" s="68" t="n">
        <x:v>0.2193</x:v>
      </x:c>
      <x:c r="AA177" s="68" t="n">
        <x:v>0.1363</x:v>
      </x:c>
      <x:c r="AB177" s="68" t="n">
        <x:v>1.4458604105339914</x:v>
      </x:c>
      <x:c r="AC177" s="68" t="n">
        <x:v>0.32380000000000003</x:v>
      </x:c>
      <x:c r="AD177" s="60" t="str">
        <x:v>同行估值 91、行业地位 87</x:v>
      </x:c>
      <x:c r="AE177" s="60" t="str">
        <x:v>稳健性 48、现金流 65</x:v>
      </x:c>
    </x:row>
    <x:row r="178" ht="39.599998474121094" hidden="0" customHeight="1">
      <x:c r="A178" s="60" t="str">
        <x:v>历史低估关注</x:v>
      </x:c>
      <x:c r="B178" s="66" t="str">
        <x:v>603888.SH</x:v>
      </x:c>
      <x:c r="C178" s="60" t="str">
        <x:v>新华网</x:v>
      </x:c>
      <x:c r="D178" s="60" t="str">
        <x:v>传媒</x:v>
      </x:c>
      <x:c r="E178" s="60" t="str">
        <x:v>数字媒体</x:v>
      </x:c>
      <x:c r="F178" s="60" t="str">
        <x:v>文字图片媒体</x:v>
      </x:c>
      <x:c r="G178" s="61" t="n">
        <x:v>1</x:v>
      </x:c>
      <x:c r="H178" s="67" t="n">
        <x:v>75.575</x:v>
      </x:c>
      <x:c r="I178" s="68" t="n">
        <x:v>1</x:v>
      </x:c>
      <x:c r="J178" s="69" t="str">
        <x:v>历史偏低位</x:v>
      </x:c>
      <x:c r="K178" s="69" t="str">
        <x:v>完整</x:v>
      </x:c>
      <x:c r="L178" s="69" t="str">
        <x:v>2026-08-19</x:v>
      </x:c>
      <x:c r="M178" s="69" t="str">
        <x:v>2026-08-24</x:v>
      </x:c>
      <x:c r="N178" s="70" t="n">
        <x:v>15.87</x:v>
      </x:c>
      <x:c r="O178" s="70" t="n">
        <x:v>35.7004</x:v>
      </x:c>
      <x:c r="P178" s="68" t="n">
        <x:v>0.086</x:v>
      </x:c>
      <x:c r="Q178" s="70" t="n">
        <x:v>3.0955</x:v>
      </x:c>
      <x:c r="R178" s="68" t="n">
        <x:v>0.2651</x:v>
      </x:c>
      <x:c r="S178" s="68" t="n">
        <x:v>0.009263</x:v>
      </x:c>
      <x:c r="T178" s="68" t="n">
        <x:v>0.16219999999999998</x:v>
      </x:c>
      <x:c r="U178" s="68" t="n">
        <x:v>0.1711</x:v>
      </x:c>
      <x:c r="V178" s="71" t="n">
        <x:v>117.2</x:v>
      </x:c>
      <x:c r="W178" s="71" t="n">
        <x:v>9.26508864</x:v>
      </x:c>
      <x:c r="X178" s="71" t="n">
        <x:v>1.25780448</x:v>
      </x:c>
      <x:c r="Y178" s="68" t="n">
        <x:v>0.09029999999999999</x:v>
      </x:c>
      <x:c r="Z178" s="68" t="n">
        <x:v>0.38520000000000004</x:v>
      </x:c>
      <x:c r="AA178" s="68" t="n">
        <x:v>0.1475</x:v>
      </x:c>
      <x:c r="AB178" s="68" t="n">
        <x:v>3.971182293769538</x:v>
      </x:c>
      <x:c r="AC178" s="68" t="n">
        <x:v>0.26899999999999996</x:v>
      </x:c>
      <x:c r="AD178" s="60" t="str">
        <x:v>同行估值 82、盈利能力 82</x:v>
      </x:c>
      <x:c r="AE178" s="60" t="str">
        <x:v>稳健性 52、现金流 70</x:v>
      </x:c>
    </x:row>
    <x:row r="179" ht="39.599998474121094" hidden="0" customHeight="1">
      <x:c r="A179" s="60" t="str">
        <x:v>历史低估关注</x:v>
      </x:c>
      <x:c r="B179" s="66" t="str">
        <x:v>600030.SH</x:v>
      </x:c>
      <x:c r="C179" s="60" t="str">
        <x:v>中信证券</x:v>
      </x:c>
      <x:c r="D179" s="60" t="str">
        <x:v>非银金融</x:v>
      </x:c>
      <x:c r="E179" s="60" t="str">
        <x:v>证券</x:v>
      </x:c>
      <x:c r="F179" s="60" t="str">
        <x:v>证券</x:v>
      </x:c>
      <x:c r="G179" s="61" t="n">
        <x:v>2</x:v>
      </x:c>
      <x:c r="H179" s="67" t="n">
        <x:v>75.1192</x:v>
      </x:c>
      <x:c r="I179" s="68" t="n">
        <x:v>1</x:v>
      </x:c>
      <x:c r="J179" s="69" t="str">
        <x:v>历史偏低位</x:v>
      </x:c>
      <x:c r="K179" s="69" t="str">
        <x:v>完整</x:v>
      </x:c>
      <x:c r="L179" s="69" t="str">
        <x:v>2026-08-19</x:v>
      </x:c>
      <x:c r="M179" s="69" t="str">
        <x:v>2026-08-24</x:v>
      </x:c>
      <x:c r="N179" s="70" t="n">
        <x:v>27.15</x:v>
      </x:c>
      <x:c r="O179" s="70" t="n">
        <x:v>12.5699</x:v>
      </x:c>
      <x:c r="P179" s="68" t="n">
        <x:v>0.1109</x:v>
      </x:c>
      <x:c r="Q179" s="70" t="n">
        <x:v>1.2679</x:v>
      </x:c>
      <x:c r="R179" s="68" t="n">
        <x:v>0.49920000000000003</x:v>
      </x:c>
      <x:c r="S179" s="68" t="n">
        <x:v>0.036095999999999996</x:v>
      </x:c>
      <x:c r="T179" s="68" t="n">
        <x:v>0.005</x:v>
      </x:c>
      <x:c r="U179" s="68" t="n">
        <x:v>0.205</x:v>
      </x:c>
      <x:c r="V179" s="71" t="n">
        <x:v>4260.74</x:v>
      </x:c>
      <x:c r="W179" s="71" t="n">
        <x:v>190.3967232</x:v>
      </x:c>
      <x:c r="X179" s="71" t="n">
        <x:v>69.1718656</x:v>
      </x:c>
      <x:c r="Y179" s="68" t="n">
        <x:v>0.1059</x:v>
      </x:c>
      <x:c r="Z179" s="68"/>
      <x:c r="AA179" s="68" t="n">
        <x:v>0.4142</x:v>
      </x:c>
      <x:c r="AB179" s="68" t="n">
        <x:v>2.588084052485061</x:v>
      </x:c>
      <x:c r="AC179" s="68" t="n">
        <x:v>0.8434999999999999</x:v>
      </x:c>
      <x:c r="AD179" s="60" t="str">
        <x:v>行业地位 99、盈利能力 83</x:v>
      </x:c>
      <x:c r="AE179" s="60" t="str">
        <x:v>稳健性 17、现金流 65</x:v>
      </x:c>
    </x:row>
    <x:row r="180" ht="39.599998474121094" hidden="0" customHeight="1">
      <x:c r="A180" s="60" t="str">
        <x:v>历史低估关注</x:v>
      </x:c>
      <x:c r="B180" s="66" t="str">
        <x:v>603279.SH</x:v>
      </x:c>
      <x:c r="C180" s="60" t="str">
        <x:v>景津装备</x:v>
      </x:c>
      <x:c r="D180" s="60" t="str">
        <x:v>环保</x:v>
      </x:c>
      <x:c r="E180" s="60" t="str">
        <x:v>环保设备</x:v>
      </x:c>
      <x:c r="F180" s="60" t="str">
        <x:v>环保设备</x:v>
      </x:c>
      <x:c r="G180" s="61" t="n">
        <x:v>1</x:v>
      </x:c>
      <x:c r="H180" s="67" t="n">
        <x:v>75.0795</x:v>
      </x:c>
      <x:c r="I180" s="68" t="n">
        <x:v>1</x:v>
      </x:c>
      <x:c r="J180" s="69" t="str">
        <x:v>历史偏低位</x:v>
      </x:c>
      <x:c r="K180" s="69" t="str">
        <x:v>完整</x:v>
      </x:c>
      <x:c r="L180" s="69" t="str">
        <x:v>2026-08-19</x:v>
      </x:c>
      <x:c r="M180" s="69" t="str">
        <x:v>2026-08-24</x:v>
      </x:c>
      <x:c r="N180" s="70" t="n">
        <x:v>12.41</x:v>
      </x:c>
      <x:c r="O180" s="70" t="n">
        <x:v>14.9897</x:v>
      </x:c>
      <x:c r="P180" s="68" t="n">
        <x:v>0.4152</x:v>
      </x:c>
      <x:c r="Q180" s="70" t="n">
        <x:v>1.541</x:v>
      </x:c>
      <x:c r="R180" s="68" t="n">
        <x:v>0.011399999999999999</x:v>
      </x:c>
      <x:c r="S180" s="68" t="n">
        <x:v>0.064464</x:v>
      </x:c>
      <x:c r="T180" s="68" t="n">
        <x:v>0.2018</x:v>
      </x:c>
      <x:c r="U180" s="68" t="n">
        <x:v>0.2095</x:v>
      </x:c>
      <x:c r="V180" s="71" t="n">
        <x:v>72.05</x:v>
      </x:c>
      <x:c r="W180" s="71" t="n">
        <x:v>16.17212416</x:v>
      </x:c>
      <x:c r="X180" s="71" t="n">
        <x:v>0.8515156</x:v>
      </x:c>
      <x:c r="Y180" s="68" t="n">
        <x:v>0.1186</x:v>
      </x:c>
      <x:c r="Z180" s="68" t="n">
        <x:v>0.2217</x:v>
      </x:c>
      <x:c r="AA180" s="68" t="n">
        <x:v>0.0895</x:v>
      </x:c>
      <x:c r="AB180" s="68" t="n">
        <x:v>5.156959755053225</x:v>
      </x:c>
      <x:c r="AC180" s="68" t="n">
        <x:v>0.4783</x:v>
      </x:c>
      <x:c r="AD180" s="60" t="str">
        <x:v>同行估值 92、行业地位 85</x:v>
      </x:c>
      <x:c r="AE180" s="60" t="str">
        <x:v>稳健性 56、盈利能力 67</x:v>
      </x:c>
    </x:row>
    <x:row r="181" ht="39.599998474121094" hidden="0" customHeight="1">
      <x:c r="A181" s="60" t="str">
        <x:v>历史低估关注</x:v>
      </x:c>
      <x:c r="B181" s="66" t="str">
        <x:v>000902.SZ</x:v>
      </x:c>
      <x:c r="C181" s="60" t="str">
        <x:v>新洋丰</x:v>
      </x:c>
      <x:c r="D181" s="60" t="str">
        <x:v>化工</x:v>
      </x:c>
      <x:c r="E181" s="60" t="str">
        <x:v>农用化工</x:v>
      </x:c>
      <x:c r="F181" s="60" t="str">
        <x:v>复合肥</x:v>
      </x:c>
      <x:c r="G181" s="61" t="n">
        <x:v>1</x:v>
      </x:c>
      <x:c r="H181" s="67" t="n">
        <x:v>74.9708</x:v>
      </x:c>
      <x:c r="I181" s="68" t="n">
        <x:v>1</x:v>
      </x:c>
      <x:c r="J181" s="69" t="str">
        <x:v>历史偏低位</x:v>
      </x:c>
      <x:c r="K181" s="69" t="str">
        <x:v>完整</x:v>
      </x:c>
      <x:c r="L181" s="69" t="str">
        <x:v>2026-08-19</x:v>
      </x:c>
      <x:c r="M181" s="69" t="str">
        <x:v>2026-08-24</x:v>
      </x:c>
      <x:c r="N181" s="70" t="n">
        <x:v>13.38</x:v>
      </x:c>
      <x:c r="O181" s="70" t="n">
        <x:v>10.5171</x:v>
      </x:c>
      <x:c r="P181" s="68" t="n">
        <x:v>0.0625</x:v>
      </x:c>
      <x:c r="Q181" s="70" t="n">
        <x:v>1.3565</x:v>
      </x:c>
      <x:c r="R181" s="68" t="n">
        <x:v>0.039599999999999996</x:v>
      </x:c>
      <x:c r="S181" s="68" t="n">
        <x:v>0.014948</x:v>
      </x:c>
      <x:c r="T181" s="68" t="n">
        <x:v>0.7574</x:v>
      </x:c>
      <x:c r="U181" s="68" t="n">
        <x:v>0.2865</x:v>
      </x:c>
      <x:c r="V181" s="71" t="n">
        <x:v>172.53</x:v>
      </x:c>
      <x:c r="W181" s="71" t="n">
        <x:v>45.73789184</x:v>
      </x:c>
      <x:c r="X181" s="71" t="n">
        <x:v>2.38773072</x:v>
      </x:c>
      <x:c r="Y181" s="68" t="n">
        <x:v>0.1442</x:v>
      </x:c>
      <x:c r="Z181" s="68" t="n">
        <x:v>0.1741</x:v>
      </x:c>
      <x:c r="AA181" s="68" t="n">
        <x:v>0.0901</x:v>
      </x:c>
      <x:c r="AB181" s="68" t="n">
        <x:v>3.7427252935791686</x:v>
      </x:c>
      <x:c r="AC181" s="68" t="n">
        <x:v>0.4045</x:v>
      </x:c>
      <x:c r="AD181" s="60" t="str">
        <x:v>行业地位 97、盈利能力 80</x:v>
      </x:c>
      <x:c r="AE181" s="60" t="str">
        <x:v>现金流 54、稳健性 57</x:v>
      </x:c>
    </x:row>
    <x:row r="182" ht="39.599998474121094" hidden="0" customHeight="1">
      <x:c r="A182" s="60" t="str">
        <x:v>历史低估关注</x:v>
      </x:c>
      <x:c r="B182" s="66" t="str">
        <x:v>300012.SZ</x:v>
      </x:c>
      <x:c r="C182" s="60" t="str">
        <x:v>华测检测</x:v>
      </x:c>
      <x:c r="D182" s="60" t="str">
        <x:v>社会服务</x:v>
      </x:c>
      <x:c r="E182" s="60" t="str">
        <x:v>专业服务</x:v>
      </x:c>
      <x:c r="F182" s="60" t="str">
        <x:v>检测服务</x:v>
      </x:c>
      <x:c r="G182" s="61" t="n">
        <x:v>1</x:v>
      </x:c>
      <x:c r="H182" s="67" t="n">
        <x:v>74.9358</x:v>
      </x:c>
      <x:c r="I182" s="68" t="n">
        <x:v>1</x:v>
      </x:c>
      <x:c r="J182" s="69" t="str">
        <x:v>历史偏低位</x:v>
      </x:c>
      <x:c r="K182" s="69" t="str">
        <x:v>完整</x:v>
      </x:c>
      <x:c r="L182" s="69" t="str">
        <x:v>2026-08-19</x:v>
      </x:c>
      <x:c r="M182" s="69" t="str">
        <x:v>2026-08-24</x:v>
      </x:c>
      <x:c r="N182" s="70" t="n">
        <x:v>15.04</x:v>
      </x:c>
      <x:c r="O182" s="70" t="n">
        <x:v>23.91</x:v>
      </x:c>
      <x:c r="P182" s="68" t="n">
        <x:v>0.3619</x:v>
      </x:c>
      <x:c r="Q182" s="70" t="n">
        <x:v>3.2078</x:v>
      </x:c>
      <x:c r="R182" s="68" t="n">
        <x:v>0.3096</x:v>
      </x:c>
      <x:c r="S182" s="68" t="n">
        <x:v>0.013298</x:v>
      </x:c>
      <x:c r="T182" s="68" t="n">
        <x:v>0.0599</x:v>
      </x:c>
      <x:c r="U182" s="68" t="n">
        <x:v>0.2438</x:v>
      </x:c>
      <x:c r="V182" s="71" t="n">
        <x:v>255.12</x:v>
      </x:c>
      <x:c r="W182" s="71" t="n">
        <x:v>19.18996864</x:v>
      </x:c>
      <x:c r="X182" s="71" t="n">
        <x:v>2.04178</x:v>
      </x:c>
      <x:c r="Y182" s="68" t="n">
        <x:v>0.1396</x:v>
      </x:c>
      <x:c r="Z182" s="68" t="n">
        <x:v>0.48619999999999997</x:v>
      </x:c>
      <x:c r="AA182" s="68" t="n">
        <x:v>0.154</x:v>
      </x:c>
      <x:c r="AB182" s="68" t="n">
        <x:v>3.7964239046322326</x:v>
      </x:c>
      <x:c r="AC182" s="68" t="n">
        <x:v>0.23879999999999998</x:v>
      </x:c>
      <x:c r="AD182" s="60" t="str">
        <x:v>行业地位 100、盈利能力 77</x:v>
      </x:c>
      <x:c r="AE182" s="60" t="str">
        <x:v>稳健性 50、现金流 59</x:v>
      </x:c>
    </x:row>
    <x:row r="183" ht="39.599998474121094" hidden="0" customHeight="1">
      <x:c r="A183" s="60" t="str">
        <x:v>历史低估关注</x:v>
      </x:c>
      <x:c r="B183" s="66" t="str">
        <x:v>688336.SH</x:v>
      </x:c>
      <x:c r="C183" s="60" t="str">
        <x:v>三生国健</x:v>
      </x:c>
      <x:c r="D183" s="60" t="str">
        <x:v>医药医疗</x:v>
      </x:c>
      <x:c r="E183" s="60" t="str">
        <x:v>生物制品</x:v>
      </x:c>
      <x:c r="F183" s="60" t="str">
        <x:v>抗体</x:v>
      </x:c>
      <x:c r="G183" s="61" t="n">
        <x:v>2</x:v>
      </x:c>
      <x:c r="H183" s="67" t="n">
        <x:v>74.8691</x:v>
      </x:c>
      <x:c r="I183" s="68" t="n">
        <x:v>1</x:v>
      </x:c>
      <x:c r="J183" s="69" t="str">
        <x:v>历史偏低位</x:v>
      </x:c>
      <x:c r="K183" s="69" t="str">
        <x:v>完整</x:v>
      </x:c>
      <x:c r="L183" s="69" t="str">
        <x:v>2026-08-19</x:v>
      </x:c>
      <x:c r="M183" s="69" t="str">
        <x:v>2026-08-24</x:v>
      </x:c>
      <x:c r="N183" s="70" t="n">
        <x:v>46.98</x:v>
      </x:c>
      <x:c r="O183" s="70" t="n">
        <x:v>14.1554</x:v>
      </x:c>
      <x:c r="P183" s="68" t="n">
        <x:v>0.0483</x:v>
      </x:c>
      <x:c r="Q183" s="70" t="n">
        <x:v>4.8845</x:v>
      </x:c>
      <x:c r="R183" s="68" t="n">
        <x:v>0.7985</x:v>
      </x:c>
      <x:c r="S183" s="68" t="n">
        <x:v>0.010281</x:v>
      </x:c>
      <x:c r="T183" s="68" t="n">
        <x:v>0.046799999999999994</x:v>
      </x:c>
      <x:c r="U183" s="68" t="n">
        <x:v>0.2979</x:v>
      </x:c>
      <x:c r="V183" s="71" t="n">
        <x:v>389.41</x:v>
      </x:c>
      <x:c r="W183" s="71" t="n">
        <x:v>30.83122176</x:v>
      </x:c>
      <x:c r="X183" s="71" t="n">
        <x:v>25.00444416</x:v>
      </x:c>
      <x:c r="Y183" s="68" t="n">
        <x:v>0.4132</x:v>
      </x:c>
      <x:c r="Z183" s="68" t="n">
        <x:v>0.9207</x:v>
      </x:c>
      <x:c r="AA183" s="68" t="n">
        <x:v>0.6887000000000001</x:v>
      </x:c>
      <x:c r="AB183" s="68" t="n">
        <x:v>0.09206811338292913</x:v>
      </x:c>
      <x:c r="AC183" s="68" t="n">
        <x:v>0.060599999999999994</x:v>
      </x:c>
      <x:c r="AD183" s="60" t="str">
        <x:v>同行估值 90、盈利能力 90</x:v>
      </x:c>
      <x:c r="AE183" s="60" t="str">
        <x:v>现金流 48、成长稳定 62</x:v>
      </x:c>
    </x:row>
    <x:row r="184" ht="39.599998474121094" hidden="0" customHeight="1">
      <x:c r="A184" s="60" t="str">
        <x:v>历史低估关注</x:v>
      </x:c>
      <x:c r="B184" s="66" t="str">
        <x:v>002241.SZ</x:v>
      </x:c>
      <x:c r="C184" s="60" t="str">
        <x:v>歌尔股份</x:v>
      </x:c>
      <x:c r="D184" s="60" t="str">
        <x:v>电子</x:v>
      </x:c>
      <x:c r="E184" s="60" t="str">
        <x:v>消费电子</x:v>
      </x:c>
      <x:c r="F184" s="60" t="str">
        <x:v>消费电子组件</x:v>
      </x:c>
      <x:c r="G184" s="61" t="n">
        <x:v>2</x:v>
      </x:c>
      <x:c r="H184" s="67" t="n">
        <x:v>74.8194</x:v>
      </x:c>
      <x:c r="I184" s="68" t="n">
        <x:v>1</x:v>
      </x:c>
      <x:c r="J184" s="69" t="str">
        <x:v>历史偏低位</x:v>
      </x:c>
      <x:c r="K184" s="69" t="str">
        <x:v>完整</x:v>
      </x:c>
      <x:c r="L184" s="69" t="str">
        <x:v>2026-08-19</x:v>
      </x:c>
      <x:c r="M184" s="69" t="str">
        <x:v>2026-08-24</x:v>
      </x:c>
      <x:c r="N184" s="70" t="n">
        <x:v>21.98</x:v>
      </x:c>
      <x:c r="O184" s="70" t="n">
        <x:v>19.6347</x:v>
      </x:c>
      <x:c r="P184" s="68" t="n">
        <x:v>0.1243</x:v>
      </x:c>
      <x:c r="Q184" s="70" t="n">
        <x:v>2.0879</x:v>
      </x:c>
      <x:c r="R184" s="68" t="n">
        <x:v>0.2545</x:v>
      </x:c>
      <x:c r="S184" s="68" t="n">
        <x:v>0.015924</x:v>
      </x:c>
      <x:c r="T184" s="68" t="n">
        <x:v>0.011899999999999999</x:v>
      </x:c>
      <x:c r="U184" s="68" t="n">
        <x:v>0.13019999999999998</x:v>
      </x:c>
      <x:c r="V184" s="71" t="n">
        <x:v>834.06</x:v>
      </x:c>
      <x:c r="W184" s="71" t="n">
        <x:v>284.43580416</x:v>
      </x:c>
      <x:c r="X184" s="71" t="n">
        <x:v>13.52844544</x:v>
      </x:c>
      <x:c r="Y184" s="68" t="n">
        <x:v>0.11289999999999999</x:v>
      </x:c>
      <x:c r="Z184" s="68" t="n">
        <x:v>0.11800000000000001</x:v>
      </x:c>
      <x:c r="AA184" s="68" t="n">
        <x:v>0.0397</x:v>
      </x:c>
      <x:c r="AB184" s="68" t="n">
        <x:v>3.972492638444643</x:v>
      </x:c>
      <x:c r="AC184" s="68" t="n">
        <x:v>0.5885</x:v>
      </x:c>
      <x:c r="AD184" s="60" t="str">
        <x:v>行业地位 96、同行估值 93</x:v>
      </x:c>
      <x:c r="AE184" s="60" t="str">
        <x:v>稳健性 50、盈利能力 56</x:v>
      </x:c>
    </x:row>
    <x:row r="185" ht="39.599998474121094" hidden="0" customHeight="1">
      <x:c r="A185" s="60" t="str">
        <x:v>历史低估关注</x:v>
      </x:c>
      <x:c r="B185" s="66" t="str">
        <x:v>300009.SZ</x:v>
      </x:c>
      <x:c r="C185" s="60" t="str">
        <x:v>安科生物</x:v>
      </x:c>
      <x:c r="D185" s="60" t="str">
        <x:v>医药医疗</x:v>
      </x:c>
      <x:c r="E185" s="60" t="str">
        <x:v>生物制品</x:v>
      </x:c>
      <x:c r="F185" s="60" t="str">
        <x:v>基因药物</x:v>
      </x:c>
      <x:c r="G185" s="61" t="n">
        <x:v>1</x:v>
      </x:c>
      <x:c r="H185" s="67" t="n">
        <x:v>74.5778</x:v>
      </x:c>
      <x:c r="I185" s="68" t="n">
        <x:v>1</x:v>
      </x:c>
      <x:c r="J185" s="69" t="str">
        <x:v>历史偏低位</x:v>
      </x:c>
      <x:c r="K185" s="69" t="str">
        <x:v>完整</x:v>
      </x:c>
      <x:c r="L185" s="69" t="str">
        <x:v>2026-08-19</x:v>
      </x:c>
      <x:c r="M185" s="69" t="str">
        <x:v>2026-08-24</x:v>
      </x:c>
      <x:c r="N185" s="70" t="n">
        <x:v>8.46</x:v>
      </x:c>
      <x:c r="O185" s="70" t="n">
        <x:v>20.3727</x:v>
      </x:c>
      <x:c r="P185" s="68" t="n">
        <x:v>0.2741</x:v>
      </x:c>
      <x:c r="Q185" s="70" t="n">
        <x:v>2.9797</x:v>
      </x:c>
      <x:c r="R185" s="68" t="n">
        <x:v>0.0429</x:v>
      </x:c>
      <x:c r="S185" s="68" t="n">
        <x:v>0.029550999999999997</x:v>
      </x:c>
      <x:c r="T185" s="68" t="n">
        <x:v>0.1565</x:v>
      </x:c>
      <x:c r="U185" s="68" t="n">
        <x:v>0.1578</x:v>
      </x:c>
      <x:c r="V185" s="71" t="n">
        <x:v>141.84</x:v>
      </x:c>
      <x:c r="W185" s="71" t="n">
        <x:v>6.83929664</x:v>
      </x:c>
      <x:c r="X185" s="71" t="n">
        <x:v>1.8370944</x:v>
      </x:c>
      <x:c r="Y185" s="68" t="n">
        <x:v>0.175</x:v>
      </x:c>
      <x:c r="Z185" s="68" t="n">
        <x:v>0.757</x:v>
      </x:c>
      <x:c r="AA185" s="68" t="n">
        <x:v>0.2824</x:v>
      </x:c>
      <x:c r="AB185" s="68" t="n">
        <x:v>1.6731975014457614</x:v>
      </x:c>
      <x:c r="AC185" s="68" t="n">
        <x:v>0.1462</x:v>
      </x:c>
      <x:c r="AD185" s="60" t="str">
        <x:v>稳健性 80、盈利能力 79</x:v>
      </x:c>
      <x:c r="AE185" s="60" t="str">
        <x:v>现金流 71、同行估值 72</x:v>
      </x:c>
    </x:row>
    <x:row r="186" ht="39.599998474121094" hidden="0" customHeight="1">
      <x:c r="A186" s="60" t="str">
        <x:v>历史低估关注</x:v>
      </x:c>
      <x:c r="B186" s="66" t="str">
        <x:v>603055.SH</x:v>
      </x:c>
      <x:c r="C186" s="60" t="str">
        <x:v>台华新材</x:v>
      </x:c>
      <x:c r="D186" s="60" t="str">
        <x:v>纺织服饰</x:v>
      </x:c>
      <x:c r="E186" s="60" t="str">
        <x:v>纺织制造</x:v>
      </x:c>
      <x:c r="F186" s="60" t="str">
        <x:v>其他纺织</x:v>
      </x:c>
      <x:c r="G186" s="61" t="n">
        <x:v>2</x:v>
      </x:c>
      <x:c r="H186" s="67" t="n">
        <x:v>74.4981</x:v>
      </x:c>
      <x:c r="I186" s="68" t="n">
        <x:v>1</x:v>
      </x:c>
      <x:c r="J186" s="69" t="str">
        <x:v>历史偏低位</x:v>
      </x:c>
      <x:c r="K186" s="69" t="str">
        <x:v>完整</x:v>
      </x:c>
      <x:c r="L186" s="69" t="str">
        <x:v>2026-08-19</x:v>
      </x:c>
      <x:c r="M186" s="69" t="str">
        <x:v>2026-08-24</x:v>
      </x:c>
      <x:c r="N186" s="70" t="n">
        <x:v>8.81</x:v>
      </x:c>
      <x:c r="O186" s="70" t="n">
        <x:v>15.6922</x:v>
      </x:c>
      <x:c r="P186" s="68" t="n">
        <x:v>0.3166</x:v>
      </x:c>
      <x:c r="Q186" s="70" t="n">
        <x:v>1.4359</x:v>
      </x:c>
      <x:c r="R186" s="68" t="n">
        <x:v>0.0495</x:v>
      </x:c>
      <x:c r="S186" s="68" t="n">
        <x:v>0.020430999999999998</x:v>
      </x:c>
      <x:c r="T186" s="68" t="n">
        <x:v>0.2541</x:v>
      </x:c>
      <x:c r="U186" s="68" t="n">
        <x:v>0.20670000000000002</x:v>
      </x:c>
      <x:c r="V186" s="71" t="n">
        <x:v>78.35</x:v>
      </x:c>
      <x:c r="W186" s="71" t="n">
        <x:v>17.04478208</x:v>
      </x:c>
      <x:c r="X186" s="71" t="n">
        <x:v>1.12445104</x:v>
      </x:c>
      <x:c r="Y186" s="68" t="n">
        <x:v>0.1033</x:v>
      </x:c>
      <x:c r="Z186" s="68" t="n">
        <x:v>0.2076</x:v>
      </x:c>
      <x:c r="AA186" s="68" t="n">
        <x:v>0.0843</x:v>
      </x:c>
      <x:c r="AB186" s="68" t="n">
        <x:v>5.717837070078214</x:v>
      </x:c>
      <x:c r="AC186" s="68" t="n">
        <x:v>0.5272</x:v>
      </x:c>
      <x:c r="AD186" s="60" t="str">
        <x:v>行业地位 100、同行估值 80</x:v>
      </x:c>
      <x:c r="AE186" s="60" t="str">
        <x:v>稳健性 38、成长稳定 64</x:v>
      </x:c>
    </x:row>
    <x:row r="187" ht="39.599998474121094" hidden="0" customHeight="1">
      <x:c r="A187" s="60" t="str">
        <x:v>历史低估关注</x:v>
      </x:c>
      <x:c r="B187" s="66" t="str">
        <x:v>600886.SH</x:v>
      </x:c>
      <x:c r="C187" s="60" t="str">
        <x:v>国投电力</x:v>
      </x:c>
      <x:c r="D187" s="60" t="str">
        <x:v>公用事业</x:v>
      </x:c>
      <x:c r="E187" s="60" t="str">
        <x:v>电力</x:v>
      </x:c>
      <x:c r="F187" s="60" t="str">
        <x:v>水力发电</x:v>
      </x:c>
      <x:c r="G187" s="61" t="n">
        <x:v>1</x:v>
      </x:c>
      <x:c r="H187" s="67" t="n">
        <x:v>74.3244</x:v>
      </x:c>
      <x:c r="I187" s="68" t="n">
        <x:v>1</x:v>
      </x:c>
      <x:c r="J187" s="69" t="str">
        <x:v>历史偏低位</x:v>
      </x:c>
      <x:c r="K187" s="69" t="str">
        <x:v>完整</x:v>
      </x:c>
      <x:c r="L187" s="69" t="str">
        <x:v>2026-08-19</x:v>
      </x:c>
      <x:c r="M187" s="69" t="str">
        <x:v>2026-08-24</x:v>
      </x:c>
      <x:c r="N187" s="70" t="n">
        <x:v>14.06</x:v>
      </x:c>
      <x:c r="O187" s="70" t="n">
        <x:v>15.1407</x:v>
      </x:c>
      <x:c r="P187" s="68" t="n">
        <x:v>0.1308</x:v>
      </x:c>
      <x:c r="Q187" s="70" t="n">
        <x:v>1.5063</x:v>
      </x:c>
      <x:c r="R187" s="68" t="n">
        <x:v>0.3099</x:v>
      </x:c>
      <x:c r="S187" s="68" t="n">
        <x:v>0.036131</x:v>
      </x:c>
      <x:c r="T187" s="68" t="n">
        <x:v>0.0179</x:v>
      </x:c>
      <x:c r="U187" s="68" t="n">
        <x:v>0.15289999999999998</x:v>
      </x:c>
      <x:c r="V187" s="71" t="n">
        <x:v>1115.83</x:v>
      </x:c>
      <x:c r="W187" s="71" t="n">
        <x:v>124.4194304</x:v>
      </x:c>
      <x:c r="X187" s="71" t="n">
        <x:v>8.76350784</x:v>
      </x:c>
      <x:c r="Y187" s="68" t="n">
        <x:v>0.11349999999999999</x:v>
      </x:c>
      <x:c r="Z187" s="68" t="n">
        <x:v>0.4114</x:v>
      </x:c>
      <x:c r="AA187" s="68" t="n">
        <x:v>0.2539</x:v>
      </x:c>
      <x:c r="AB187" s="68" t="n">
        <x:v>8.55483141326202</x:v>
      </x:c>
      <x:c r="AC187" s="68" t="n">
        <x:v>0.6052000000000001</x:v>
      </x:c>
      <x:c r="AD187" s="60" t="str">
        <x:v>行业地位 90、同行估值 87</x:v>
      </x:c>
      <x:c r="AE187" s="60" t="str">
        <x:v>稳健性 46、盈利能力 62</x:v>
      </x:c>
    </x:row>
    <x:row r="188" ht="39.599998474121094" hidden="0" customHeight="1">
      <x:c r="A188" s="60" t="str">
        <x:v>历史低估关注</x:v>
      </x:c>
      <x:c r="B188" s="66" t="str">
        <x:v>300498.SZ</x:v>
      </x:c>
      <x:c r="C188" s="60" t="str">
        <x:v>温氏股份</x:v>
      </x:c>
      <x:c r="D188" s="60" t="str">
        <x:v>农林牧渔</x:v>
      </x:c>
      <x:c r="E188" s="60" t="str">
        <x:v>养殖业</x:v>
      </x:c>
      <x:c r="F188" s="60" t="str">
        <x:v>生猪养殖</x:v>
      </x:c>
      <x:c r="G188" s="61" t="n">
        <x:v>1</x:v>
      </x:c>
      <x:c r="H188" s="67" t="n">
        <x:v>74.2786</x:v>
      </x:c>
      <x:c r="I188" s="68" t="n">
        <x:v>1</x:v>
      </x:c>
      <x:c r="J188" s="69" t="str">
        <x:v>历史偏低位</x:v>
      </x:c>
      <x:c r="K188" s="69" t="str">
        <x:v>完整</x:v>
      </x:c>
      <x:c r="L188" s="69" t="str">
        <x:v>2026-08-19</x:v>
      </x:c>
      <x:c r="M188" s="69" t="str">
        <x:v>2026-08-24</x:v>
      </x:c>
      <x:c r="N188" s="70" t="n">
        <x:v>13.59</x:v>
      </x:c>
      <x:c r="O188" s="70" t="n">
        <x:v>41.1981</x:v>
      </x:c>
      <x:c r="P188" s="68" t="n">
        <x:v>0.7137</x:v>
      </x:c>
      <x:c r="Q188" s="70" t="n">
        <x:v>2.2408</x:v>
      </x:c>
      <x:c r="R188" s="68" t="n">
        <x:v>0.0654</x:v>
      </x:c>
      <x:c r="S188" s="68" t="n">
        <x:v>0.036792</x:v>
      </x:c>
      <x:c r="T188" s="68" t="n">
        <x:v>0.040999999999999995</x:v>
      </x:c>
      <x:c r="U188" s="68" t="n">
        <x:v>0.2734</x:v>
      </x:c>
      <x:c r="V188" s="71" t="n">
        <x:v>908.93</x:v>
      </x:c>
      <x:c r="W188" s="71" t="n">
        <x:v>280.3639296</x:v>
      </x:c>
      <x:c r="X188" s="71" t="n">
        <x:v>0.1057988</x:v>
      </x:c>
      <x:c r="Y188" s="68" t="n">
        <x:v>0.1257</x:v>
      </x:c>
      <x:c r="Z188" s="68" t="n">
        <x:v>0.1118</x:v>
      </x:c>
      <x:c r="AA188" s="68" t="n">
        <x:v>0.0527</x:v>
      </x:c>
      <x:c r="AB188" s="68" t="n">
        <x:v>341.1001319485665</x:v>
      </x:c>
      <x:c r="AC188" s="68" t="n">
        <x:v>0.4982</x:v>
      </x:c>
      <x:c r="AD188" s="60" t="str">
        <x:v>行业地位 87、现金流 82</x:v>
      </x:c>
      <x:c r="AE188" s="60" t="str">
        <x:v>稳健性 53、成长稳定 59</x:v>
      </x:c>
    </x:row>
    <x:row r="189" ht="39.599998474121094" hidden="0" customHeight="1">
      <x:c r="A189" s="60" t="str">
        <x:v>历史低估关注</x:v>
      </x:c>
      <x:c r="B189" s="66" t="str">
        <x:v>600704.SH</x:v>
      </x:c>
      <x:c r="C189" s="60" t="str">
        <x:v>物产中大</x:v>
      </x:c>
      <x:c r="D189" s="60" t="str">
        <x:v>交通运输</x:v>
      </x:c>
      <x:c r="E189" s="60" t="str">
        <x:v>物流</x:v>
      </x:c>
      <x:c r="F189" s="60" t="str">
        <x:v>供应链服务</x:v>
      </x:c>
      <x:c r="G189" s="61" t="n">
        <x:v>1</x:v>
      </x:c>
      <x:c r="H189" s="67" t="n">
        <x:v>74.195</x:v>
      </x:c>
      <x:c r="I189" s="68" t="n">
        <x:v>1</x:v>
      </x:c>
      <x:c r="J189" s="69" t="str">
        <x:v>历史偏低位</x:v>
      </x:c>
      <x:c r="K189" s="69" t="str">
        <x:v>完整</x:v>
      </x:c>
      <x:c r="L189" s="69" t="str">
        <x:v>2026-08-19</x:v>
      </x:c>
      <x:c r="M189" s="69" t="str">
        <x:v>2026-08-24</x:v>
      </x:c>
      <x:c r="N189" s="70" t="n">
        <x:v>4.84</x:v>
      </x:c>
      <x:c r="O189" s="70" t="n">
        <x:v>6.9323</x:v>
      </x:c>
      <x:c r="P189" s="68" t="n">
        <x:v>0.3936</x:v>
      </x:c>
      <x:c r="Q189" s="70" t="n">
        <x:v>0.5424</x:v>
      </x:c>
      <x:c r="R189" s="68" t="n">
        <x:v>0.0141</x:v>
      </x:c>
      <x:c r="S189" s="68" t="n">
        <x:v>0.045454999999999995</x:v>
      </x:c>
      <x:c r="T189" s="68" t="n">
        <x:v>0.138</x:v>
      </x:c>
      <x:c r="U189" s="68" t="n">
        <x:v>0.1819</x:v>
      </x:c>
      <x:c r="V189" s="71" t="n">
        <x:v>252.35</x:v>
      </x:c>
      <x:c r="W189" s="71" t="n">
        <x:v>1634.83041792</x:v>
      </x:c>
      <x:c r="X189" s="71" t="n">
        <x:v>5.71836928</x:v>
      </x:c>
      <x:c r="Y189" s="68" t="n">
        <x:v>0.087</x:v>
      </x:c>
      <x:c r="Z189" s="68" t="n">
        <x:v>0.023</x:v>
      </x:c>
      <x:c r="AA189" s="68" t="n">
        <x:v>0.0092</x:v>
      </x:c>
      <x:c r="AB189" s="68" t="n">
        <x:v>0.8097749713708591</x:v>
      </x:c>
      <x:c r="AC189" s="68" t="n">
        <x:v>0.6965</x:v>
      </x:c>
      <x:c r="AD189" s="60" t="str">
        <x:v>同行估值 97、行业地位 97</x:v>
      </x:c>
      <x:c r="AE189" s="60" t="str">
        <x:v>现金流 45、稳健性 46</x:v>
      </x:c>
    </x:row>
    <x:row r="190" ht="39.599998474121094" hidden="0" customHeight="1">
      <x:c r="A190" s="60" t="str">
        <x:v>历史低估关注</x:v>
      </x:c>
      <x:c r="B190" s="66" t="str">
        <x:v>601811.SH</x:v>
      </x:c>
      <x:c r="C190" s="60" t="str">
        <x:v>新华文轩</x:v>
      </x:c>
      <x:c r="D190" s="60" t="str">
        <x:v>传媒</x:v>
      </x:c>
      <x:c r="E190" s="60" t="str">
        <x:v>出版业</x:v>
      </x:c>
      <x:c r="F190" s="60" t="str">
        <x:v>教育出版</x:v>
      </x:c>
      <x:c r="G190" s="61" t="n">
        <x:v>1</x:v>
      </x:c>
      <x:c r="H190" s="67" t="n">
        <x:v>74.0982</x:v>
      </x:c>
      <x:c r="I190" s="68" t="n">
        <x:v>1</x:v>
      </x:c>
      <x:c r="J190" s="69" t="str">
        <x:v>历史偏低位</x:v>
      </x:c>
      <x:c r="K190" s="69" t="str">
        <x:v>完整</x:v>
      </x:c>
      <x:c r="L190" s="69" t="str">
        <x:v>2026-08-19</x:v>
      </x:c>
      <x:c r="M190" s="69" t="str">
        <x:v>2026-08-24</x:v>
      </x:c>
      <x:c r="N190" s="70" t="n">
        <x:v>11.98</x:v>
      </x:c>
      <x:c r="O190" s="70" t="n">
        <x:v>9.4404</x:v>
      </x:c>
      <x:c r="P190" s="68" t="n">
        <x:v>0.33030000000000004</x:v>
      </x:c>
      <x:c r="Q190" s="70" t="n">
        <x:v>0.9502</x:v>
      </x:c>
      <x:c r="R190" s="68" t="n">
        <x:v>0.0562</x:v>
      </x:c>
      <x:c r="S190" s="68" t="n">
        <x:v>0.050918</x:v>
      </x:c>
      <x:c r="T190" s="68" t="n">
        <x:v>0.044000000000000004</x:v>
      </x:c>
      <x:c r="U190" s="68" t="n">
        <x:v>0.1435</x:v>
      </x:c>
      <x:c r="V190" s="71" t="n">
        <x:v>147.69</x:v>
      </x:c>
      <x:c r="W190" s="71" t="n">
        <x:v>38.348032</x:v>
      </x:c>
      <x:c r="X190" s="71" t="n">
        <x:v>5.91737408</x:v>
      </x:c>
      <x:c r="Y190" s="68" t="n">
        <x:v>0.1048</x:v>
      </x:c>
      <x:c r="Z190" s="68" t="n">
        <x:v>0.35600000000000004</x:v>
      </x:c>
      <x:c r="AA190" s="68" t="n">
        <x:v>0.13699999999999998</x:v>
      </x:c>
      <x:c r="AB190" s="68" t="n">
        <x:v>1.078393151037698</x:v>
      </x:c>
      <x:c r="AC190" s="68" t="n">
        <x:v>0.33240000000000003</x:v>
      </x:c>
      <x:c r="AD190" s="60" t="str">
        <x:v>成长稳定 100、行业地位 86</x:v>
      </x:c>
      <x:c r="AE190" s="60" t="str">
        <x:v>现金流 50、盈利能力 58</x:v>
      </x:c>
    </x:row>
    <x:row r="191" ht="39.599998474121094" hidden="0" customHeight="1">
      <x:c r="A191" s="60" t="str">
        <x:v>历史低估关注</x:v>
      </x:c>
      <x:c r="B191" s="66" t="str">
        <x:v>688187.SH</x:v>
      </x:c>
      <x:c r="C191" s="60" t="str">
        <x:v>时代电气</x:v>
      </x:c>
      <x:c r="D191" s="60" t="str">
        <x:v>机械设备</x:v>
      </x:c>
      <x:c r="E191" s="60" t="str">
        <x:v>轨交设备</x:v>
      </x:c>
      <x:c r="F191" s="60" t="str">
        <x:v>轨交设备</x:v>
      </x:c>
      <x:c r="G191" s="61" t="n">
        <x:v>1</x:v>
      </x:c>
      <x:c r="H191" s="67" t="n">
        <x:v>74.0867</x:v>
      </x:c>
      <x:c r="I191" s="68" t="n">
        <x:v>1</x:v>
      </x:c>
      <x:c r="J191" s="69" t="str">
        <x:v>历史偏低位</x:v>
      </x:c>
      <x:c r="K191" s="69" t="str">
        <x:v>完整</x:v>
      </x:c>
      <x:c r="L191" s="69" t="str">
        <x:v>2026-08-19</x:v>
      </x:c>
      <x:c r="M191" s="69" t="str">
        <x:v>2026-08-24</x:v>
      </x:c>
      <x:c r="N191" s="70" t="n">
        <x:v>49.11</x:v>
      </x:c>
      <x:c r="O191" s="70" t="n">
        <x:v>15.9058</x:v>
      </x:c>
      <x:c r="P191" s="68" t="n">
        <x:v>0.057999999999999996</x:v>
      </x:c>
      <x:c r="Q191" s="70" t="n">
        <x:v>1.515</x:v>
      </x:c>
      <x:c r="R191" s="68" t="n">
        <x:v>0.1465</x:v>
      </x:c>
      <x:c r="S191" s="68" t="n">
        <x:v>0.022806000000000003</x:v>
      </x:c>
      <x:c r="T191" s="68" t="n">
        <x:v>0.1754</x:v>
      </x:c>
      <x:c r="U191" s="68" t="n">
        <x:v>0.1266</x:v>
      </x:c>
      <x:c r="V191" s="71" t="n">
        <x:v>633.68</x:v>
      </x:c>
      <x:c r="W191" s="71" t="n">
        <x:v>98.7260928</x:v>
      </x:c>
      <x:c r="X191" s="71" t="n">
        <x:v>13.76042496</x:v>
      </x:c>
      <x:c r="Y191" s="68" t="n">
        <x:v>0.0981</x:v>
      </x:c>
      <x:c r="Z191" s="68" t="n">
        <x:v>0.3343</x:v>
      </x:c>
      <x:c r="AA191" s="68" t="n">
        <x:v>0.1501</x:v>
      </x:c>
      <x:c r="AB191" s="68" t="n">
        <x:v>1.3428119243201047</x:v>
      </x:c>
      <x:c r="AC191" s="68" t="n">
        <x:v>0.3629</x:v>
      </x:c>
      <x:c r="AD191" s="60" t="str">
        <x:v>行业地位 95、成长稳定 86</x:v>
      </x:c>
      <x:c r="AE191" s="60" t="str">
        <x:v>现金流 39、稳健性 51</x:v>
      </x:c>
    </x:row>
    <x:row r="192" ht="39.599998474121094" hidden="0" customHeight="1">
      <x:c r="A192" s="60" t="str">
        <x:v>历史低估关注</x:v>
      </x:c>
      <x:c r="B192" s="66" t="str">
        <x:v>601766.SH</x:v>
      </x:c>
      <x:c r="C192" s="60" t="str">
        <x:v>中国中车</x:v>
      </x:c>
      <x:c r="D192" s="60" t="str">
        <x:v>机械设备</x:v>
      </x:c>
      <x:c r="E192" s="60" t="str">
        <x:v>轨交设备</x:v>
      </x:c>
      <x:c r="F192" s="60" t="str">
        <x:v>轨交设备</x:v>
      </x:c>
      <x:c r="G192" s="61" t="n">
        <x:v>2</x:v>
      </x:c>
      <x:c r="H192" s="67" t="n">
        <x:v>74.0322</x:v>
      </x:c>
      <x:c r="I192" s="68" t="n">
        <x:v>1</x:v>
      </x:c>
      <x:c r="J192" s="69" t="str">
        <x:v>历史偏低位</x:v>
      </x:c>
      <x:c r="K192" s="69" t="str">
        <x:v>完整</x:v>
      </x:c>
      <x:c r="L192" s="69" t="str">
        <x:v>2026-08-19</x:v>
      </x:c>
      <x:c r="M192" s="69" t="str">
        <x:v>2026-08-24</x:v>
      </x:c>
      <x:c r="N192" s="70" t="n">
        <x:v>6.09</x:v>
      </x:c>
      <x:c r="O192" s="70" t="n">
        <x:v>12.9403</x:v>
      </x:c>
      <x:c r="P192" s="68" t="n">
        <x:v>0.1379</x:v>
      </x:c>
      <x:c r="Q192" s="70" t="n">
        <x:v>0.995</x:v>
      </x:c>
      <x:c r="R192" s="68" t="n">
        <x:v>0.20929999999999999</x:v>
      </x:c>
      <x:c r="S192" s="68" t="n">
        <x:v>0.037767</x:v>
      </x:c>
      <x:c r="T192" s="68" t="n">
        <x:v>0.19829999999999998</x:v>
      </x:c>
      <x:c r="U192" s="68" t="n">
        <x:v>0.1818</x:v>
      </x:c>
      <x:c r="V192" s="71" t="n">
        <x:v>1744.89</x:v>
      </x:c>
      <x:c r="W192" s="71" t="n">
        <x:v>891.98010368</x:v>
      </x:c>
      <x:c r="X192" s="71" t="n">
        <x:v>32.16766976</x:v>
      </x:c>
      <x:c r="Y192" s="68" t="n">
        <x:v>0.077</x:v>
      </x:c>
      <x:c r="Z192" s="68" t="n">
        <x:v>0.2138</x:v>
      </x:c>
      <x:c r="AA192" s="68" t="n">
        <x:v>0.061900000000000004</x:v>
      </x:c>
      <x:c r="AB192" s="68" t="n">
        <x:v>11.102320194921075</x:v>
      </x:c>
      <x:c r="AC192" s="68" t="n">
        <x:v>0.6077</x:v>
      </x:c>
      <x:c r="AD192" s="60" t="str">
        <x:v>行业地位 100、同行估值 96</x:v>
      </x:c>
      <x:c r="AE192" s="60" t="str">
        <x:v>盈利能力 46、稳健性 53</x:v>
      </x:c>
    </x:row>
    <x:row r="193" ht="39.599998474121094" hidden="0" customHeight="1">
      <x:c r="A193" s="60" t="str">
        <x:v>历史低估关注</x:v>
      </x:c>
      <x:c r="B193" s="66" t="str">
        <x:v>002282.SZ</x:v>
      </x:c>
      <x:c r="C193" s="60" t="str">
        <x:v>博深股份</x:v>
      </x:c>
      <x:c r="D193" s="60" t="str">
        <x:v>机械设备</x:v>
      </x:c>
      <x:c r="E193" s="60" t="str">
        <x:v>通用设备</x:v>
      </x:c>
      <x:c r="F193" s="60" t="str">
        <x:v>磨具磨料</x:v>
      </x:c>
      <x:c r="G193" s="61" t="n">
        <x:v>1</x:v>
      </x:c>
      <x:c r="H193" s="67" t="n">
        <x:v>74</x:v>
      </x:c>
      <x:c r="I193" s="68" t="n">
        <x:v>1</x:v>
      </x:c>
      <x:c r="J193" s="69" t="str">
        <x:v>历史偏低位</x:v>
      </x:c>
      <x:c r="K193" s="69" t="str">
        <x:v>完整</x:v>
      </x:c>
      <x:c r="L193" s="69" t="str">
        <x:v>2026-08-19</x:v>
      </x:c>
      <x:c r="M193" s="69" t="str">
        <x:v>2026-08-24</x:v>
      </x:c>
      <x:c r="N193" s="70" t="n">
        <x:v>5.84</x:v>
      </x:c>
      <x:c r="O193" s="70" t="n">
        <x:v>23.2688</x:v>
      </x:c>
      <x:c r="P193" s="68" t="n">
        <x:v>0.47950000000000004</x:v>
      </x:c>
      <x:c r="Q193" s="70" t="n">
        <x:v>0.8456</x:v>
      </x:c>
      <x:c r="R193" s="68" t="n">
        <x:v>0.0242</x:v>
      </x:c>
      <x:c r="S193" s="68" t="n">
        <x:v>0.025685</x:v>
      </x:c>
      <x:c r="T193" s="68" t="n">
        <x:v>0.2245</x:v>
      </x:c>
      <x:c r="U193" s="68" t="n">
        <x:v>0.2427</x:v>
      </x:c>
      <x:c r="V193" s="71" t="n">
        <x:v>30.93</x:v>
      </x:c>
      <x:c r="W193" s="71" t="n">
        <x:v>4.19668448</x:v>
      </x:c>
      <x:c r="X193" s="71" t="n">
        <x:v>-0.0096301188</x:v>
      </x:c>
      <x:c r="Y193" s="68" t="n">
        <x:v>0.0433</x:v>
      </x:c>
      <x:c r="Z193" s="68" t="n">
        <x:v>0.2761</x:v>
      </x:c>
      <x:c r="AA193" s="68" t="n">
        <x:v>0.0913</x:v>
      </x:c>
      <x:c r="AB193" s="68" t="n">
        <x:v>-142.84721804262685</x:v>
      </x:c>
      <x:c r="AC193" s="68" t="n">
        <x:v>0.0949</x:v>
      </x:c>
      <x:c r="AD193" s="60" t="str">
        <x:v>同行估值 100、稳健性 100</x:v>
      </x:c>
      <x:c r="AE193" s="60" t="str">
        <x:v>现金流 56、行业地位 57</x:v>
      </x:c>
    </x:row>
    <x:row r="194" ht="39.599998474121094" hidden="0" customHeight="1">
      <x:c r="A194" s="60" t="str">
        <x:v>历史低估关注</x:v>
      </x:c>
      <x:c r="B194" s="66" t="str">
        <x:v>600415.SH</x:v>
      </x:c>
      <x:c r="C194" s="60" t="str">
        <x:v>小商品城</x:v>
      </x:c>
      <x:c r="D194" s="60" t="str">
        <x:v>商贸</x:v>
      </x:c>
      <x:c r="E194" s="60" t="str">
        <x:v>商业物业经营</x:v>
      </x:c>
      <x:c r="F194" s="60" t="str">
        <x:v>商业物业经营</x:v>
      </x:c>
      <x:c r="G194" s="61" t="n">
        <x:v>1</x:v>
      </x:c>
      <x:c r="H194" s="67" t="n">
        <x:v>73.8666</x:v>
      </x:c>
      <x:c r="I194" s="68" t="n">
        <x:v>1</x:v>
      </x:c>
      <x:c r="J194" s="69" t="str">
        <x:v>历史偏低位</x:v>
      </x:c>
      <x:c r="K194" s="69" t="str">
        <x:v>完整</x:v>
      </x:c>
      <x:c r="L194" s="69" t="str">
        <x:v>2026-08-19</x:v>
      </x:c>
      <x:c r="M194" s="69" t="str">
        <x:v>2026-08-24</x:v>
      </x:c>
      <x:c r="N194" s="70" t="n">
        <x:v>12.01</x:v>
      </x:c>
      <x:c r="O194" s="70" t="n">
        <x:v>14.9994</x:v>
      </x:c>
      <x:c r="P194" s="68" t="n">
        <x:v>0.07339999999999999</x:v>
      </x:c>
      <x:c r="Q194" s="70" t="n">
        <x:v>2.7592</x:v>
      </x:c>
      <x:c r="R194" s="68" t="n">
        <x:v>0.5927</x:v>
      </x:c>
      <x:c r="S194" s="68" t="n">
        <x:v>0.041631999999999995</x:v>
      </x:c>
      <x:c r="T194" s="68" t="n">
        <x:v>0.0273</x:v>
      </x:c>
      <x:c r="U194" s="68" t="n">
        <x:v>0.2311</x:v>
      </x:c>
      <x:c r="V194" s="71" t="n">
        <x:v>674.48</x:v>
      </x:c>
      <x:c r="W194" s="71" t="n">
        <x:v>68.66122752</x:v>
      </x:c>
      <x:c r="X194" s="71" t="n">
        <x:v>7.46234048</x:v>
      </x:c>
      <x:c r="Y194" s="68" t="n">
        <x:v>0.1753</x:v>
      </x:c>
      <x:c r="Z194" s="68" t="n">
        <x:v>0.3144</x:v>
      </x:c>
      <x:c r="AA194" s="68" t="n">
        <x:v>0.2116</x:v>
      </x:c>
      <x:c r="AB194" s="68" t="n">
        <x:v>1.238237148889781</x:v>
      </x:c>
      <x:c r="AC194" s="68" t="n">
        <x:v>0.4814</x:v>
      </x:c>
      <x:c r="AD194" s="60" t="str">
        <x:v>行业地位 98、成长稳定 93</x:v>
      </x:c>
      <x:c r="AE194" s="60" t="str">
        <x:v>现金流 36、稳健性 37</x:v>
      </x:c>
    </x:row>
    <x:row r="195" ht="39.599998474121094" hidden="0" customHeight="1">
      <x:c r="A195" s="60" t="str">
        <x:v>历史低估关注</x:v>
      </x:c>
      <x:c r="B195" s="66" t="str">
        <x:v>600803.SH</x:v>
      </x:c>
      <x:c r="C195" s="60" t="str">
        <x:v>新奥股份</x:v>
      </x:c>
      <x:c r="D195" s="60" t="str">
        <x:v>公用事业</x:v>
      </x:c>
      <x:c r="E195" s="60" t="str">
        <x:v>燃气</x:v>
      </x:c>
      <x:c r="F195" s="60" t="str">
        <x:v>燃气</x:v>
      </x:c>
      <x:c r="G195" s="61" t="n">
        <x:v>2</x:v>
      </x:c>
      <x:c r="H195" s="67" t="n">
        <x:v>73.7504</x:v>
      </x:c>
      <x:c r="I195" s="68" t="n">
        <x:v>1</x:v>
      </x:c>
      <x:c r="J195" s="69" t="str">
        <x:v>历史偏低位</x:v>
      </x:c>
      <x:c r="K195" s="69" t="str">
        <x:v>完整</x:v>
      </x:c>
      <x:c r="L195" s="69" t="str">
        <x:v>2026-08-19</x:v>
      </x:c>
      <x:c r="M195" s="69" t="str">
        <x:v>2026-08-24</x:v>
      </x:c>
      <x:c r="N195" s="70" t="n">
        <x:v>17.9</x:v>
      </x:c>
      <x:c r="O195" s="70" t="n">
        <x:v>12.7077</x:v>
      </x:c>
      <x:c r="P195" s="68" t="n">
        <x:v>0.5329</x:v>
      </x:c>
      <x:c r="Q195" s="70" t="n">
        <x:v>2.2897</x:v>
      </x:c>
      <x:c r="R195" s="68" t="n">
        <x:v>0.0424</x:v>
      </x:c>
      <x:c r="S195" s="68" t="n">
        <x:v>0.063687</x:v>
      </x:c>
      <x:c r="T195" s="68" t="n">
        <x:v>0.056299999999999996</x:v>
      </x:c>
      <x:c r="U195" s="68" t="n">
        <x:v>0.21050000000000002</x:v>
      </x:c>
      <x:c r="V195" s="71" t="n">
        <x:v>544.13</x:v>
      </x:c>
      <x:c r="W195" s="71" t="n">
        <x:v>356.00560128</x:v>
      </x:c>
      <x:c r="X195" s="71" t="n">
        <x:v>12.5552</x:v>
      </x:c>
      <x:c r="Y195" s="68" t="n">
        <x:v>0.1935</x:v>
      </x:c>
      <x:c r="Z195" s="68" t="n">
        <x:v>0.1392</x:v>
      </x:c>
      <x:c r="AA195" s="68" t="n">
        <x:v>0.076</x:v>
      </x:c>
      <x:c r="AB195" s="68" t="n">
        <x:v>6.144904090735313</x:v>
      </x:c>
      <x:c r="AC195" s="68" t="n">
        <x:v>0.5321</x:v>
      </x:c>
      <x:c r="AD195" s="60" t="str">
        <x:v>行业地位 100、同行估值 77</x:v>
      </x:c>
      <x:c r="AE195" s="60" t="str">
        <x:v>成长稳定 47、稳健性 55</x:v>
      </x:c>
    </x:row>
    <x:row r="196" ht="39.599998474121094" hidden="0" customHeight="1">
      <x:c r="A196" s="60" t="str">
        <x:v>历史低估关注</x:v>
      </x:c>
      <x:c r="B196" s="66" t="str">
        <x:v>300773.SZ</x:v>
      </x:c>
      <x:c r="C196" s="60" t="str">
        <x:v>拉卡拉</x:v>
      </x:c>
      <x:c r="D196" s="60" t="str">
        <x:v>非银金融</x:v>
      </x:c>
      <x:c r="E196" s="60" t="str">
        <x:v>多元金融</x:v>
      </x:c>
      <x:c r="F196" s="60" t="str">
        <x:v>其他金融服务</x:v>
      </x:c>
      <x:c r="G196" s="61" t="n">
        <x:v>1</x:v>
      </x:c>
      <x:c r="H196" s="67" t="n">
        <x:v>73.75</x:v>
      </x:c>
      <x:c r="I196" s="68" t="n">
        <x:v>1</x:v>
      </x:c>
      <x:c r="J196" s="69" t="str">
        <x:v>历史偏低位</x:v>
      </x:c>
      <x:c r="K196" s="69" t="str">
        <x:v>完整</x:v>
      </x:c>
      <x:c r="L196" s="69" t="str">
        <x:v>2026-08-19</x:v>
      </x:c>
      <x:c r="M196" s="69" t="str">
        <x:v>2026-08-24</x:v>
      </x:c>
      <x:c r="N196" s="70" t="n">
        <x:v>14.3</x:v>
      </x:c>
      <x:c r="O196" s="70" t="n">
        <x:v>9.6562</x:v>
      </x:c>
      <x:c r="P196" s="68" t="n">
        <x:v>0.0116</x:v>
      </x:c>
      <x:c r="Q196" s="70" t="n">
        <x:v>3.3552</x:v>
      </x:c>
      <x:c r="R196" s="68" t="n">
        <x:v>0.373</x:v>
      </x:c>
      <x:c r="S196" s="68" t="n">
        <x:v>0.041958</x:v>
      </x:c>
      <x:c r="T196" s="68" t="n">
        <x:v>0.27390000000000003</x:v>
      </x:c>
      <x:c r="U196" s="68" t="n">
        <x:v>0.2195</x:v>
      </x:c>
      <x:c r="V196" s="71" t="n">
        <x:v>164.73</x:v>
      </x:c>
      <x:c r="W196" s="71" t="n">
        <x:v>14.78520192</x:v>
      </x:c>
      <x:c r="X196" s="71" t="n">
        <x:v>8.31633536</x:v>
      </x:c>
      <x:c r="Y196" s="68" t="n">
        <x:v>0.3037</x:v>
      </x:c>
      <x:c r="Z196" s="68" t="n">
        <x:v>0.25329999999999997</x:v>
      </x:c>
      <x:c r="AA196" s="68" t="n">
        <x:v>0.21239999999999998</x:v>
      </x:c>
      <x:c r="AB196" s="68" t="n">
        <x:v>0.3810491067065386</x:v>
      </x:c>
      <x:c r="AC196" s="68" t="n">
        <x:v>0.662</x:v>
      </x:c>
      <x:c r="AD196" s="60" t="str">
        <x:v>行业地位 100、同行估值 92</x:v>
      </x:c>
      <x:c r="AE196" s="60" t="str">
        <x:v>稳健性 45、成长稳定 48</x:v>
      </x:c>
    </x:row>
    <x:row r="197" ht="39.599998474121094" hidden="0" customHeight="1">
      <x:c r="A197" s="60" t="str">
        <x:v>历史低估关注</x:v>
      </x:c>
      <x:c r="B197" s="66" t="str">
        <x:v>603223.SH</x:v>
      </x:c>
      <x:c r="C197" s="60" t="str">
        <x:v>恒通股份</x:v>
      </x:c>
      <x:c r="D197" s="60" t="str">
        <x:v>交通运输</x:v>
      </x:c>
      <x:c r="E197" s="60" t="str">
        <x:v>物流</x:v>
      </x:c>
      <x:c r="F197" s="60" t="str">
        <x:v>公路货运</x:v>
      </x:c>
      <x:c r="G197" s="61" t="n">
        <x:v>1</x:v>
      </x:c>
      <x:c r="H197" s="67" t="n">
        <x:v>73.75</x:v>
      </x:c>
      <x:c r="I197" s="68" t="n">
        <x:v>1</x:v>
      </x:c>
      <x:c r="J197" s="69" t="str">
        <x:v>历史偏低位</x:v>
      </x:c>
      <x:c r="K197" s="69" t="str">
        <x:v>完整</x:v>
      </x:c>
      <x:c r="L197" s="69" t="str">
        <x:v>2026-08-19</x:v>
      </x:c>
      <x:c r="M197" s="69" t="str">
        <x:v>2026-08-24</x:v>
      </x:c>
      <x:c r="N197" s="70" t="n">
        <x:v>10.4</x:v>
      </x:c>
      <x:c r="O197" s="70" t="n">
        <x:v>23.1697</x:v>
      </x:c>
      <x:c r="P197" s="68" t="n">
        <x:v>0.0366</x:v>
      </x:c>
      <x:c r="Q197" s="70" t="n">
        <x:v>1.7957</x:v>
      </x:c>
      <x:c r="R197" s="68" t="n">
        <x:v>0.3361</x:v>
      </x:c>
      <x:c r="S197" s="68" t="n">
        <x:v>0.011057999999999998</x:v>
      </x:c>
      <x:c r="T197" s="68" t="n">
        <x:v>0.0786</x:v>
      </x:c>
      <x:c r="U197" s="68" t="n">
        <x:v>0.15039999999999998</x:v>
      </x:c>
      <x:c r="V197" s="71" t="n">
        <x:v>72.91</x:v>
      </x:c>
      <x:c r="W197" s="71" t="n">
        <x:v>3.10433728</x:v>
      </x:c>
      <x:c r="X197" s="71" t="n">
        <x:v>0.90270136</x:v>
      </x:c>
      <x:c r="Y197" s="68" t="n">
        <x:v>0.0683</x:v>
      </x:c>
      <x:c r="Z197" s="68" t="n">
        <x:v>0.305</x:v>
      </x:c>
      <x:c r="AA197" s="68" t="n">
        <x:v>0.1954</x:v>
      </x:c>
      <x:c r="AB197" s="68" t="n">
        <x:v>8.809058180658994</x:v>
      </x:c>
      <x:c r="AC197" s="68" t="n">
        <x:v>0.2291</x:v>
      </x:c>
      <x:c r="AD197" s="60" t="str">
        <x:v>盈利能力 100、现金流 95</x:v>
      </x:c>
      <x:c r="AE197" s="60" t="str">
        <x:v>成长稳定 25、同行估值 50</x:v>
      </x:c>
    </x:row>
    <x:row r="198" ht="39.599998474121094" hidden="0" customHeight="1">
      <x:c r="A198" s="60" t="str">
        <x:v>历史低估关注</x:v>
      </x:c>
      <x:c r="B198" s="66" t="str">
        <x:v>000025.SZ</x:v>
      </x:c>
      <x:c r="C198" s="60" t="str">
        <x:v>特 力Ａ</x:v>
      </x:c>
      <x:c r="D198" s="60" t="str">
        <x:v>综合</x:v>
      </x:c>
      <x:c r="E198" s="60" t="str">
        <x:v>综合类</x:v>
      </x:c>
      <x:c r="F198" s="60" t="str">
        <x:v>综合类</x:v>
      </x:c>
      <x:c r="G198" s="61" t="n">
        <x:v>2</x:v>
      </x:c>
      <x:c r="H198" s="67" t="n">
        <x:v>73.5266</x:v>
      </x:c>
      <x:c r="I198" s="68" t="n">
        <x:v>1</x:v>
      </x:c>
      <x:c r="J198" s="69" t="str">
        <x:v>历史偏低位</x:v>
      </x:c>
      <x:c r="K198" s="69" t="str">
        <x:v>完整</x:v>
      </x:c>
      <x:c r="L198" s="69" t="str">
        <x:v>2026-08-19</x:v>
      </x:c>
      <x:c r="M198" s="69" t="str">
        <x:v>2026-08-24</x:v>
      </x:c>
      <x:c r="N198" s="70" t="n">
        <x:v>15.69</x:v>
      </x:c>
      <x:c r="O198" s="70" t="n">
        <x:v>47.6576</x:v>
      </x:c>
      <x:c r="P198" s="68" t="n">
        <x:v>0.21850000000000003</x:v>
      </x:c>
      <x:c r="Q198" s="70" t="n">
        <x:v>3.6363</x:v>
      </x:c>
      <x:c r="R198" s="68" t="n">
        <x:v>0.1164</x:v>
      </x:c>
      <x:c r="S198" s="68" t="n">
        <x:v>0.007011</x:v>
      </x:c>
      <x:c r="T198" s="68" t="n">
        <x:v>0.029500000000000002</x:v>
      </x:c>
      <x:c r="U198" s="68" t="n">
        <x:v>0.1215</x:v>
      </x:c>
      <x:c r="V198" s="71" t="n">
        <x:v>67.5</x:v>
      </x:c>
      <x:c r="W198" s="71" t="n">
        <x:v>2.94729728</x:v>
      </x:c>
      <x:c r="X198" s="71" t="n">
        <x:v>0.19265772</x:v>
      </x:c>
      <x:c r="Y198" s="68" t="n">
        <x:v>0.0806</x:v>
      </x:c>
      <x:c r="Z198" s="68" t="n">
        <x:v>0.1707</x:v>
      </x:c>
      <x:c r="AA198" s="68" t="n">
        <x:v>0.0968</x:v>
      </x:c>
      <x:c r="AB198" s="68" t="n">
        <x:v>8.135433555426692</x:v>
      </x:c>
      <x:c r="AC198" s="68" t="n">
        <x:v>0.2468</x:v>
      </x:c>
      <x:c r="AD198" s="60" t="str">
        <x:v>现金流 81、成长稳定 81</x:v>
      </x:c>
      <x:c r="AE198" s="60" t="str">
        <x:v>同行估值 61、行业地位 69</x:v>
      </x:c>
    </x:row>
    <x:row r="199" ht="39.599998474121094" hidden="0" customHeight="1">
      <x:c r="A199" s="60" t="str">
        <x:v>历史低估关注</x:v>
      </x:c>
      <x:c r="B199" s="66" t="str">
        <x:v>002004.SZ</x:v>
      </x:c>
      <x:c r="C199" s="60" t="str">
        <x:v>华邦健康</x:v>
      </x:c>
      <x:c r="D199" s="60" t="str">
        <x:v>化工</x:v>
      </x:c>
      <x:c r="E199" s="60" t="str">
        <x:v>农用化工</x:v>
      </x:c>
      <x:c r="F199" s="60" t="str">
        <x:v>农药</x:v>
      </x:c>
      <x:c r="G199" s="61" t="n">
        <x:v>2</x:v>
      </x:c>
      <x:c r="H199" s="67" t="n">
        <x:v>73.4309</x:v>
      </x:c>
      <x:c r="I199" s="68" t="n">
        <x:v>1</x:v>
      </x:c>
      <x:c r="J199" s="69" t="str">
        <x:v>历史偏低位</x:v>
      </x:c>
      <x:c r="K199" s="69" t="str">
        <x:v>完整</x:v>
      </x:c>
      <x:c r="L199" s="69" t="str">
        <x:v>2026-08-19</x:v>
      </x:c>
      <x:c r="M199" s="69" t="str">
        <x:v>2026-08-24</x:v>
      </x:c>
      <x:c r="N199" s="70" t="n">
        <x:v>4.45</x:v>
      </x:c>
      <x:c r="O199" s="70" t="n">
        <x:v>12.8871</x:v>
      </x:c>
      <x:c r="P199" s="68" t="n">
        <x:v>0.1685</x:v>
      </x:c>
      <x:c r="Q199" s="70" t="n">
        <x:v>0.8475</x:v>
      </x:c>
      <x:c r="R199" s="68" t="n">
        <x:v>0.1663</x:v>
      </x:c>
      <x:c r="S199" s="68" t="n">
        <x:v>0.10112399999999999</x:v>
      </x:c>
      <x:c r="T199" s="68" t="n">
        <x:v>0.0379</x:v>
      </x:c>
      <x:c r="U199" s="68" t="n">
        <x:v>0.1242</x:v>
      </x:c>
      <x:c r="V199" s="71" t="n">
        <x:v>88.5</x:v>
      </x:c>
      <x:c r="W199" s="71" t="n">
        <x:v>24.26358784</x:v>
      </x:c>
      <x:c r="X199" s="71" t="n">
        <x:v>1.01367968</x:v>
      </x:c>
      <x:c r="Y199" s="68" t="n">
        <x:v>0.0724</x:v>
      </x:c>
      <x:c r="Z199" s="68" t="n">
        <x:v>0.36920000000000003</x:v>
      </x:c>
      <x:c r="AA199" s="68" t="n">
        <x:v>0.0765</x:v>
      </x:c>
      <x:c r="AB199" s="68" t="n">
        <x:v>9.511350804624987</x:v>
      </x:c>
      <x:c r="AC199" s="68" t="n">
        <x:v>0.41509999999999997</x:v>
      </x:c>
      <x:c r="AD199" s="60" t="str">
        <x:v>同行估值 94、行业地位 83</x:v>
      </x:c>
      <x:c r="AE199" s="60" t="str">
        <x:v>成长稳定 31、盈利能力 69</x:v>
      </x:c>
    </x:row>
    <x:row r="200" ht="39.599998474121094" hidden="0" customHeight="1">
      <x:c r="A200" s="60" t="str">
        <x:v>历史低估关注</x:v>
      </x:c>
      <x:c r="B200" s="66" t="str">
        <x:v>000726.SZ</x:v>
      </x:c>
      <x:c r="C200" s="60" t="str">
        <x:v>鲁 泰Ａ</x:v>
      </x:c>
      <x:c r="D200" s="60" t="str">
        <x:v>纺织服饰</x:v>
      </x:c>
      <x:c r="E200" s="60" t="str">
        <x:v>纺织制造</x:v>
      </x:c>
      <x:c r="F200" s="60" t="str">
        <x:v>棉纺制品</x:v>
      </x:c>
      <x:c r="G200" s="61" t="n">
        <x:v>1</x:v>
      </x:c>
      <x:c r="H200" s="67" t="n">
        <x:v>73.25</x:v>
      </x:c>
      <x:c r="I200" s="68" t="n">
        <x:v>1</x:v>
      </x:c>
      <x:c r="J200" s="69" t="str">
        <x:v>历史偏低位</x:v>
      </x:c>
      <x:c r="K200" s="69" t="str">
        <x:v>完整</x:v>
      </x:c>
      <x:c r="L200" s="69" t="str">
        <x:v>2026-08-19</x:v>
      </x:c>
      <x:c r="M200" s="69" t="str">
        <x:v>2026-08-24</x:v>
      </x:c>
      <x:c r="N200" s="70" t="n">
        <x:v>5.87</x:v>
      </x:c>
      <x:c r="O200" s="70" t="n">
        <x:v>8.9051</x:v>
      </x:c>
      <x:c r="P200" s="68" t="n">
        <x:v>0.2087</x:v>
      </x:c>
      <x:c r="Q200" s="70" t="n">
        <x:v>0.4862</x:v>
      </x:c>
      <x:c r="R200" s="68" t="n">
        <x:v>0.054299999999999994</x:v>
      </x:c>
      <x:c r="S200" s="68" t="n">
        <x:v>0.042588999999999995</x:v>
      </x:c>
      <x:c r="T200" s="68" t="n">
        <x:v>0.1276</x:v>
      </x:c>
      <x:c r="U200" s="68" t="n">
        <x:v>0.13019999999999998</x:v>
      </x:c>
      <x:c r="V200" s="71" t="n">
        <x:v>48.23</x:v>
      </x:c>
      <x:c r="W200" s="71" t="n">
        <x:v>16.04489472</x:v>
      </x:c>
      <x:c r="X200" s="71" t="n">
        <x:v>0.90914368</x:v>
      </x:c>
      <x:c r="Y200" s="68" t="n">
        <x:v>0.0616</x:v>
      </x:c>
      <x:c r="Z200" s="68" t="n">
        <x:v>0.23</x:v>
      </x:c>
      <x:c r="AA200" s="68" t="n">
        <x:v>0.1024</x:v>
      </x:c>
      <x:c r="AB200" s="68" t="n">
        <x:v>3.336291134972197</x:v>
      </x:c>
      <x:c r="AC200" s="68" t="n">
        <x:v>0.28190000000000004</x:v>
      </x:c>
      <x:c r="AD200" s="60" t="str">
        <x:v>稳健性 93、同行估值 85</x:v>
      </x:c>
      <x:c r="AE200" s="60" t="str">
        <x:v>现金流 60、行业地位 67</x:v>
      </x:c>
    </x:row>
    <x:row r="201" ht="39.599998474121094" hidden="0" customHeight="1">
      <x:c r="A201" s="60" t="str">
        <x:v>历史低估关注</x:v>
      </x:c>
      <x:c r="B201" s="66" t="str">
        <x:v>002611.SZ</x:v>
      </x:c>
      <x:c r="C201" s="60" t="str">
        <x:v>东方精工</x:v>
      </x:c>
      <x:c r="D201" s="60" t="str">
        <x:v>机械设备</x:v>
      </x:c>
      <x:c r="E201" s="60" t="str">
        <x:v>专用设备</x:v>
      </x:c>
      <x:c r="F201" s="60" t="str">
        <x:v>印刷包装机械</x:v>
      </x:c>
      <x:c r="G201" s="61" t="n">
        <x:v>2</x:v>
      </x:c>
      <x:c r="H201" s="67" t="n">
        <x:v>73.2325</x:v>
      </x:c>
      <x:c r="I201" s="68" t="n">
        <x:v>1</x:v>
      </x:c>
      <x:c r="J201" s="69" t="str">
        <x:v>历史偏低位</x:v>
      </x:c>
      <x:c r="K201" s="69" t="str">
        <x:v>完整</x:v>
      </x:c>
      <x:c r="L201" s="69" t="str">
        <x:v>2026-08-19</x:v>
      </x:c>
      <x:c r="M201" s="69" t="str">
        <x:v>2026-08-24</x:v>
      </x:c>
      <x:c r="N201" s="70" t="n">
        <x:v>14.95</x:v>
      </x:c>
      <x:c r="O201" s="70" t="n">
        <x:v>4.3599</x:v>
      </x:c>
      <x:c r="P201" s="68" t="n">
        <x:v>0.0053</x:v>
      </x:c>
      <x:c r="Q201" s="70" t="n">
        <x:v>1.9205</x:v>
      </x:c>
      <x:c r="R201" s="68" t="n">
        <x:v>0.5674</x:v>
      </x:c>
      <x:c r="S201" s="68" t="n">
        <x:v>0.016187</x:v>
      </x:c>
      <x:c r="T201" s="68" t="n">
        <x:v>0.0051</x:v>
      </x:c>
      <x:c r="U201" s="68" t="n">
        <x:v>0.19260000000000002</x:v>
      </x:c>
      <x:c r="V201" s="71" t="n">
        <x:v>176.02</x:v>
      </x:c>
      <x:c r="W201" s="71" t="n">
        <x:v>18.39224192</x:v>
      </x:c>
      <x:c r="X201" s="71" t="n">
        <x:v>2.14866304</x:v>
      </x:c>
      <x:c r="Y201" s="68" t="n">
        <x:v>0.13390000000000002</x:v>
      </x:c>
      <x:c r="Z201" s="68" t="n">
        <x:v>0.2736</x:v>
      </x:c>
      <x:c r="AA201" s="68" t="n">
        <x:v>0.1472</x:v>
      </x:c>
      <x:c r="AB201" s="68" t="n">
        <x:v>1.7124541966338287</x:v>
      </x:c>
      <x:c r="AC201" s="68" t="n">
        <x:v>0.3085</x:v>
      </x:c>
      <x:c r="AD201" s="60" t="str">
        <x:v>行业地位 100、同行估值 84</x:v>
      </x:c>
      <x:c r="AE201" s="60" t="str">
        <x:v>稳健性 46、现金流 58</x:v>
      </x:c>
    </x:row>
    <x:row r="202" ht="39.599998474121094" hidden="0" customHeight="1">
      <x:c r="A202" s="60" t="str">
        <x:v>历史低估关注</x:v>
      </x:c>
      <x:c r="B202" s="66" t="str">
        <x:v>002472.SZ</x:v>
      </x:c>
      <x:c r="C202" s="60" t="str">
        <x:v>双环传动</x:v>
      </x:c>
      <x:c r="D202" s="60" t="str">
        <x:v>汽车</x:v>
      </x:c>
      <x:c r="E202" s="60" t="str">
        <x:v>汽车零部件</x:v>
      </x:c>
      <x:c r="F202" s="60" t="str">
        <x:v>底盘与发动机系统</x:v>
      </x:c>
      <x:c r="G202" s="61" t="n">
        <x:v>2</x:v>
      </x:c>
      <x:c r="H202" s="67" t="n">
        <x:v>73.2224</x:v>
      </x:c>
      <x:c r="I202" s="68" t="n">
        <x:v>1</x:v>
      </x:c>
      <x:c r="J202" s="69" t="str">
        <x:v>历史偏低位</x:v>
      </x:c>
      <x:c r="K202" s="69" t="str">
        <x:v>完整</x:v>
      </x:c>
      <x:c r="L202" s="69" t="str">
        <x:v>2026-08-19</x:v>
      </x:c>
      <x:c r="M202" s="69" t="str">
        <x:v>2026-08-24</x:v>
      </x:c>
      <x:c r="N202" s="70" t="n">
        <x:v>36.3</x:v>
      </x:c>
      <x:c r="O202" s="70" t="n">
        <x:v>24.3028</x:v>
      </x:c>
      <x:c r="P202" s="68" t="n">
        <x:v>0.1115</x:v>
      </x:c>
      <x:c r="Q202" s="70" t="n">
        <x:v>2.9941</x:v>
      </x:c>
      <x:c r="R202" s="68" t="n">
        <x:v>0.2847</x:v>
      </x:c>
      <x:c r="S202" s="68" t="n">
        <x:v>0.012672000000000001</x:v>
      </x:c>
      <x:c r="T202" s="68" t="n">
        <x:v>0.0054</x:v>
      </x:c>
      <x:c r="U202" s="68" t="n">
        <x:v>0.13390000000000002</x:v>
      </x:c>
      <x:c r="V202" s="71" t="n">
        <x:v>299.45</x:v>
      </x:c>
      <x:c r="W202" s="71" t="n">
        <x:v>26.45798656</x:v>
      </x:c>
      <x:c r="X202" s="71" t="n">
        <x:v>3.63126304</x:v>
      </x:c>
      <x:c r="Y202" s="68" t="n">
        <x:v>0.1336</x:v>
      </x:c>
      <x:c r="Z202" s="68" t="n">
        <x:v>0.2734</x:v>
      </x:c>
      <x:c r="AA202" s="68" t="n">
        <x:v>0.1454</x:v>
      </x:c>
      <x:c r="AB202" s="68" t="n">
        <x:v>3.0111033102135174</x:v>
      </x:c>
      <x:c r="AC202" s="68" t="n">
        <x:v>0.43979999999999997</x:v>
      </x:c>
      <x:c r="AD202" s="60" t="str">
        <x:v>行业地位 95、盈利能力 77</x:v>
      </x:c>
      <x:c r="AE202" s="60" t="str">
        <x:v>稳健性 31、同行估值 56</x:v>
      </x:c>
    </x:row>
    <x:row r="203" ht="39.599998474121094" hidden="0" customHeight="1">
      <x:c r="A203" s="60" t="str">
        <x:v>历史低估关注</x:v>
      </x:c>
      <x:c r="B203" s="66" t="str">
        <x:v>688692.SH</x:v>
      </x:c>
      <x:c r="C203" s="60" t="str">
        <x:v>达梦数据</x:v>
      </x:c>
      <x:c r="D203" s="60" t="str">
        <x:v>计算机</x:v>
      </x:c>
      <x:c r="E203" s="60" t="str">
        <x:v>软件服务</x:v>
      </x:c>
      <x:c r="F203" s="60" t="str">
        <x:v>基础软件</x:v>
      </x:c>
      <x:c r="G203" s="61" t="n">
        <x:v>1</x:v>
      </x:c>
      <x:c r="H203" s="67" t="n">
        <x:v>73.2078</x:v>
      </x:c>
      <x:c r="I203" s="68" t="n">
        <x:v>0.85</x:v>
      </x:c>
      <x:c r="J203" s="69" t="str">
        <x:v>历史偏低位</x:v>
      </x:c>
      <x:c r="K203" s="69" t="str">
        <x:v>部分可用</x:v>
      </x:c>
      <x:c r="L203" s="69" t="str">
        <x:v>2026-08-19</x:v>
      </x:c>
      <x:c r="M203" s="69" t="str">
        <x:v>2026-08-24</x:v>
      </x:c>
      <x:c r="N203" s="70" t="n">
        <x:v>245.43</x:v>
      </x:c>
      <x:c r="O203" s="70" t="n">
        <x:v>48.7697</x:v>
      </x:c>
      <x:c r="P203" s="68" t="n">
        <x:v>0.0891</x:v>
      </x:c>
      <x:c r="Q203" s="70" t="n">
        <x:v>7.1518</x:v>
      </x:c>
      <x:c r="R203" s="68" t="n">
        <x:v>0.1379</x:v>
      </x:c>
      <x:c r="S203" s="68" t="n">
        <x:v>0.0065190000000000005</x:v>
      </x:c>
      <x:c r="T203" s="68" t="n">
        <x:v>0.23879999999999998</x:v>
      </x:c>
      <x:c r="U203" s="68" t="n">
        <x:v>0.1553</x:v>
      </x:c>
      <x:c r="V203" s="71" t="n">
        <x:v>264.61</x:v>
      </x:c>
      <x:c r="W203" s="71" t="n">
        <x:v>4.75611008</x:v>
      </x:c>
      <x:c r="X203" s="71" t="n">
        <x:v>1.86890272</x:v>
      </x:c>
      <x:c r="Y203" s="68" t="n">
        <x:v>0.1485</x:v>
      </x:c>
      <x:c r="Z203" s="68" t="n">
        <x:v>0.9612</x:v>
      </x:c>
      <x:c r="AA203" s="68" t="n">
        <x:v>0.3944</x:v>
      </x:c>
      <x:c r="AB203" s="68" t="n">
        <x:v>2.2783004564303915</x:v>
      </x:c>
      <x:c r="AC203" s="68" t="n">
        <x:v>0.1535</x:v>
      </x:c>
      <x:c r="AD203" s="60" t="str">
        <x:v>盈利能力 100、行业地位 79</x:v>
      </x:c>
      <x:c r="AE203" s="60" t="str">
        <x:v>稳健性 39、现金流 62</x:v>
      </x:c>
    </x:row>
    <x:row r="204" ht="39.599998474121094" hidden="0" customHeight="1">
      <x:c r="A204" s="60" t="str">
        <x:v>历史低估关注</x:v>
      </x:c>
      <x:c r="B204" s="66" t="str">
        <x:v>600760.SH</x:v>
      </x:c>
      <x:c r="C204" s="60" t="str">
        <x:v>中航沈飞</x:v>
      </x:c>
      <x:c r="D204" s="60" t="str">
        <x:v>国防军工</x:v>
      </x:c>
      <x:c r="E204" s="60" t="str">
        <x:v>航空装备</x:v>
      </x:c>
      <x:c r="F204" s="60" t="str">
        <x:v>航空装备</x:v>
      </x:c>
      <x:c r="G204" s="61" t="n">
        <x:v>2</x:v>
      </x:c>
      <x:c r="H204" s="67" t="n">
        <x:v>73.132</x:v>
      </x:c>
      <x:c r="I204" s="68" t="n">
        <x:v>1</x:v>
      </x:c>
      <x:c r="J204" s="69" t="str">
        <x:v>历史偏低位</x:v>
      </x:c>
      <x:c r="K204" s="69" t="str">
        <x:v>完整</x:v>
      </x:c>
      <x:c r="L204" s="69" t="str">
        <x:v>2026-08-19</x:v>
      </x:c>
      <x:c r="M204" s="69" t="str">
        <x:v>2026-08-24</x:v>
      </x:c>
      <x:c r="N204" s="70" t="n">
        <x:v>43.53</x:v>
      </x:c>
      <x:c r="O204" s="70" t="n">
        <x:v>37.9454</x:v>
      </x:c>
      <x:c r="P204" s="68" t="n">
        <x:v>0.1866</x:v>
      </x:c>
      <x:c r="Q204" s="70" t="n">
        <x:v>5.1893</x:v>
      </x:c>
      <x:c r="R204" s="68" t="n">
        <x:v>0.0381</x:v>
      </x:c>
      <x:c r="S204" s="68" t="n">
        <x:v>0.009304</x:v>
      </x:c>
      <x:c r="T204" s="68" t="n">
        <x:v>0.331</x:v>
      </x:c>
      <x:c r="U204" s="68" t="n">
        <x:v>0.1852</x:v>
      </x:c>
      <x:c r="V204" s="71" t="n">
        <x:v>1277.42</x:v>
      </x:c>
      <x:c r="W204" s="71" t="n">
        <x:v>240.49201152</x:v>
      </x:c>
      <x:c r="X204" s="71" t="n">
        <x:v>21.5625856</x:v>
      </x:c>
      <x:c r="Y204" s="68" t="n">
        <x:v>0.18350000000000002</x:v>
      </x:c>
      <x:c r="Z204" s="68" t="n">
        <x:v>0.13699999999999998</x:v>
      </x:c>
      <x:c r="AA204" s="68" t="n">
        <x:v>0.0793</x:v>
      </x:c>
      <x:c r="AB204" s="68" t="n">
        <x:v>-0.053798446138110634</x:v>
      </x:c>
      <x:c r="AC204" s="68" t="n">
        <x:v>0.6688</x:v>
      </x:c>
      <x:c r="AD204" s="60" t="str">
        <x:v>行业地位 99、成长稳定 96</x:v>
      </x:c>
      <x:c r="AE204" s="60" t="str">
        <x:v>现金流 35、稳健性 59</x:v>
      </x:c>
    </x:row>
    <x:row r="205" ht="39.599998474121094" hidden="0" customHeight="1">
      <x:c r="A205" s="60" t="str">
        <x:v>历史低估关注</x:v>
      </x:c>
      <x:c r="B205" s="66" t="str">
        <x:v>600968.SH</x:v>
      </x:c>
      <x:c r="C205" s="60" t="str">
        <x:v>海油发展</x:v>
      </x:c>
      <x:c r="D205" s="60" t="str">
        <x:v>石油</x:v>
      </x:c>
      <x:c r="E205" s="60" t="str">
        <x:v>油服工程</x:v>
      </x:c>
      <x:c r="F205" s="60" t="str">
        <x:v>油田服务</x:v>
      </x:c>
      <x:c r="G205" s="61" t="n">
        <x:v>1</x:v>
      </x:c>
      <x:c r="H205" s="67" t="n">
        <x:v>73.0571</x:v>
      </x:c>
      <x:c r="I205" s="68" t="n">
        <x:v>1</x:v>
      </x:c>
      <x:c r="J205" s="69" t="str">
        <x:v>历史偏低位</x:v>
      </x:c>
      <x:c r="K205" s="69" t="str">
        <x:v>完整</x:v>
      </x:c>
      <x:c r="L205" s="69" t="str">
        <x:v>2026-08-19</x:v>
      </x:c>
      <x:c r="M205" s="69" t="str">
        <x:v>2026-08-24</x:v>
      </x:c>
      <x:c r="N205" s="70" t="n">
        <x:v>4.06</x:v>
      </x:c>
      <x:c r="O205" s="70" t="n">
        <x:v>10.5074</x:v>
      </x:c>
      <x:c r="P205" s="68" t="n">
        <x:v>0.1292</x:v>
      </x:c>
      <x:c r="Q205" s="70" t="n">
        <x:v>1.3682</x:v>
      </x:c>
      <x:c r="R205" s="68" t="n">
        <x:v>0.31620000000000004</x:v>
      </x:c>
      <x:c r="S205" s="68" t="n">
        <x:v>0.036206999999999996</x:v>
      </x:c>
      <x:c r="T205" s="68" t="n">
        <x:v>0.0432</x:v>
      </x:c>
      <x:c r="U205" s="68" t="n">
        <x:v>0.1629</x:v>
      </x:c>
      <x:c r="V205" s="71" t="n">
        <x:v>408.64</x:v>
      </x:c>
      <x:c r="W205" s="71" t="n">
        <x:v>164.164864</x:v>
      </x:c>
      <x:c r="X205" s="71" t="n">
        <x:v>10.31663488</x:v>
      </x:c>
      <x:c r="Y205" s="68" t="n">
        <x:v>0.1369</x:v>
      </x:c>
      <x:c r="Z205" s="68" t="n">
        <x:v>0.1609</x:v>
      </x:c>
      <x:c r="AA205" s="68" t="n">
        <x:v>0.0791</x:v>
      </x:c>
      <x:c r="AB205" s="68" t="n">
        <x:v>4.601139646031555</x:v>
      </x:c>
      <x:c r="AC205" s="68" t="n">
        <x:v>0.40979999999999994</x:v>
      </x:c>
      <x:c r="AD205" s="60" t="str">
        <x:v>同行估值 96、稳健性 90</x:v>
      </x:c>
      <x:c r="AE205" s="60" t="str">
        <x:v>成长稳定 53、现金流 58</x:v>
      </x:c>
    </x:row>
    <x:row r="206" ht="39.599998474121094" hidden="0" customHeight="1">
      <x:c r="A206" s="60" t="str">
        <x:v>历史低估关注</x:v>
      </x:c>
      <x:c r="B206" s="66" t="str">
        <x:v>002967.SZ</x:v>
      </x:c>
      <x:c r="C206" s="60" t="str">
        <x:v>广电计量</x:v>
      </x:c>
      <x:c r="D206" s="60" t="str">
        <x:v>社会服务</x:v>
      </x:c>
      <x:c r="E206" s="60" t="str">
        <x:v>专业服务</x:v>
      </x:c>
      <x:c r="F206" s="60" t="str">
        <x:v>检测服务</x:v>
      </x:c>
      <x:c r="G206" s="61" t="n">
        <x:v>2</x:v>
      </x:c>
      <x:c r="H206" s="67" t="n">
        <x:v>72.8105</x:v>
      </x:c>
      <x:c r="I206" s="68" t="n">
        <x:v>1</x:v>
      </x:c>
      <x:c r="J206" s="69" t="str">
        <x:v>历史偏低位</x:v>
      </x:c>
      <x:c r="K206" s="69" t="str">
        <x:v>完整</x:v>
      </x:c>
      <x:c r="L206" s="69" t="str">
        <x:v>2026-08-19</x:v>
      </x:c>
      <x:c r="M206" s="69" t="str">
        <x:v>2026-08-24</x:v>
      </x:c>
      <x:c r="N206" s="70" t="n">
        <x:v>17.18</x:v>
      </x:c>
      <x:c r="O206" s="70" t="n">
        <x:v>25.1662</x:v>
      </x:c>
      <x:c r="P206" s="68" t="n">
        <x:v>0.0118</x:v>
      </x:c>
      <x:c r="Q206" s="70" t="n">
        <x:v>2.2331</x:v>
      </x:c>
      <x:c r="R206" s="68" t="n">
        <x:v>0.11720000000000001</x:v>
      </x:c>
      <x:c r="S206" s="68" t="n">
        <x:v>0.020373000000000002</x:v>
      </x:c>
      <x:c r="T206" s="68" t="n">
        <x:v>0.2077</x:v>
      </x:c>
      <x:c r="U206" s="68" t="n">
        <x:v>0.11220000000000001</x:v>
      </x:c>
      <x:c r="V206" s="71" t="n">
        <x:v>109.7</x:v>
      </x:c>
      <x:c r="W206" s="71" t="n">
        <x:v>11.8744384</x:v>
      </x:c>
      <x:c r="X206" s="71" t="n">
        <x:v>1.85717712</x:v>
      </x:c>
      <x:c r="Y206" s="68" t="n">
        <x:v>0.1219</x:v>
      </x:c>
      <x:c r="Z206" s="68" t="n">
        <x:v>0.46840000000000004</x:v>
      </x:c>
      <x:c r="AA206" s="68" t="n">
        <x:v>0.1231</x:v>
      </x:c>
      <x:c r="AB206" s="68" t="n">
        <x:v>3.7342619857388724</x:v>
      </x:c>
      <x:c r="AC206" s="68" t="n">
        <x:v>0.44630000000000003</x:v>
      </x:c>
      <x:c r="AD206" s="60" t="str">
        <x:v>行业地位 94、同行估值 82</x:v>
      </x:c>
      <x:c r="AE206" s="60" t="str">
        <x:v>稳健性 46、成长稳定 60</x:v>
      </x:c>
    </x:row>
    <x:row r="207" ht="39.599998474121094" hidden="0" customHeight="1">
      <x:c r="A207" s="60" t="str">
        <x:v>历史低估关注</x:v>
      </x:c>
      <x:c r="B207" s="66" t="str">
        <x:v>601390.SH</x:v>
      </x:c>
      <x:c r="C207" s="60" t="str">
        <x:v>中国中铁</x:v>
      </x:c>
      <x:c r="D207" s="60" t="str">
        <x:v>建筑</x:v>
      </x:c>
      <x:c r="E207" s="60" t="str">
        <x:v>基础建设</x:v>
      </x:c>
      <x:c r="F207" s="60" t="str">
        <x:v>基建工程</x:v>
      </x:c>
      <x:c r="G207" s="61" t="n">
        <x:v>1</x:v>
      </x:c>
      <x:c r="H207" s="67" t="n">
        <x:v>72.7601</x:v>
      </x:c>
      <x:c r="I207" s="68" t="n">
        <x:v>1</x:v>
      </x:c>
      <x:c r="J207" s="69" t="str">
        <x:v>历史偏低位</x:v>
      </x:c>
      <x:c r="K207" s="69" t="str">
        <x:v>完整</x:v>
      </x:c>
      <x:c r="L207" s="69" t="str">
        <x:v>2026-08-19</x:v>
      </x:c>
      <x:c r="M207" s="69" t="str">
        <x:v>2026-08-24</x:v>
      </x:c>
      <x:c r="N207" s="70" t="n">
        <x:v>4.31</x:v>
      </x:c>
      <x:c r="O207" s="70" t="n">
        <x:v>4.9813</x:v>
      </x:c>
      <x:c r="P207" s="68" t="n">
        <x:v>0.39159999999999995</x:v>
      </x:c>
      <x:c r="Q207" s="70" t="n">
        <x:v>0.2825</x:v>
      </x:c>
      <x:c r="R207" s="68" t="n">
        <x:v>0.0051</x:v>
      </x:c>
      <x:c r="S207" s="68" t="n">
        <x:v>0.038979</x:v>
      </x:c>
      <x:c r="T207" s="68" t="n">
        <x:v>0.1309</x:v>
      </x:c>
      <x:c r="U207" s="68" t="n">
        <x:v>0.1759</x:v>
      </x:c>
      <x:c r="V207" s="71" t="n">
        <x:v>1069.57</x:v>
      </x:c>
      <x:c r="W207" s="71" t="n">
        <x:v>3168.12361728</x:v>
      </x:c>
      <x:c r="X207" s="71" t="n">
        <x:v>54.01547776</x:v>
      </x:c>
      <x:c r="Y207" s="68" t="n">
        <x:v>0.0672</x:v>
      </x:c>
      <x:c r="Z207" s="68" t="n">
        <x:v>0.0934</x:v>
      </x:c>
      <x:c r="AA207" s="68" t="n">
        <x:v>0.0242</x:v>
      </x:c>
      <x:c r="AB207" s="68" t="n">
        <x:v>18.819503278609897</x:v>
      </x:c>
      <x:c r="AC207" s="68" t="n">
        <x:v>0.7812</x:v>
      </x:c>
      <x:c r="AD207" s="60" t="str">
        <x:v>行业地位 98、同行估值 86</x:v>
      </x:c>
      <x:c r="AE207" s="60" t="str">
        <x:v>盈利能力 50、稳健性 54</x:v>
      </x:c>
    </x:row>
    <x:row r="208" ht="39.599998474121094" hidden="0" customHeight="1">
      <x:c r="A208" s="60" t="str">
        <x:v>历史低估关注</x:v>
      </x:c>
      <x:c r="B208" s="66" t="str">
        <x:v>600867.SH</x:v>
      </x:c>
      <x:c r="C208" s="60" t="str">
        <x:v>通化东宝</x:v>
      </x:c>
      <x:c r="D208" s="60" t="str">
        <x:v>医药医疗</x:v>
      </x:c>
      <x:c r="E208" s="60" t="str">
        <x:v>生物制品</x:v>
      </x:c>
      <x:c r="F208" s="60" t="str">
        <x:v>基因药物</x:v>
      </x:c>
      <x:c r="G208" s="61" t="n">
        <x:v>2</x:v>
      </x:c>
      <x:c r="H208" s="67" t="n">
        <x:v>72.6667</x:v>
      </x:c>
      <x:c r="I208" s="68" t="n">
        <x:v>1</x:v>
      </x:c>
      <x:c r="J208" s="69" t="str">
        <x:v>历史偏低位</x:v>
      </x:c>
      <x:c r="K208" s="69" t="str">
        <x:v>完整</x:v>
      </x:c>
      <x:c r="L208" s="69" t="str">
        <x:v>2026-08-19</x:v>
      </x:c>
      <x:c r="M208" s="69" t="str">
        <x:v>2026-08-24</x:v>
      </x:c>
      <x:c r="N208" s="70" t="n">
        <x:v>8.24</x:v>
      </x:c>
      <x:c r="O208" s="70" t="n">
        <x:v>13.0497</x:v>
      </x:c>
      <x:c r="P208" s="68" t="n">
        <x:v>0.1852</x:v>
      </x:c>
      <x:c r="Q208" s="70" t="n">
        <x:v>2.2291</x:v>
      </x:c>
      <x:c r="R208" s="68" t="n">
        <x:v>0.0731</x:v>
      </x:c>
      <x:c r="S208" s="68" t="n">
        <x:v>0.036408</x:v>
      </x:c>
      <x:c r="T208" s="68" t="n">
        <x:v>0.2297</x:v>
      </x:c>
      <x:c r="U208" s="68" t="n">
        <x:v>0.16269999999999998</x:v>
      </x:c>
      <x:c r="V208" s="71" t="n">
        <x:v>155.7</x:v>
      </x:c>
      <x:c r="W208" s="71" t="n">
        <x:v>7.6764032</x:v>
      </x:c>
      <x:c r="X208" s="71" t="n">
        <x:v>0.16818508</x:v>
      </x:c>
      <x:c r="Y208" s="68" t="n">
        <x:v>0.18359999999999999</x:v>
      </x:c>
      <x:c r="Z208" s="68" t="n">
        <x:v>0.7033</x:v>
      </x:c>
      <x:c r="AA208" s="68" t="n">
        <x:v>0.40619999999999995</x:v>
      </x:c>
      <x:c r="AB208" s="68" t="n">
        <x:v>18.371286680126442</x:v>
      </x:c>
      <x:c r="AC208" s="68" t="n">
        <x:v>0.10099999999999999</x:v>
      </x:c>
      <x:c r="AD208" s="60" t="str">
        <x:v>现金流 91、同行估值 90</x:v>
      </x:c>
      <x:c r="AE208" s="60" t="str">
        <x:v>成长稳定 26、行业地位 71</x:v>
      </x:c>
    </x:row>
    <x:row r="209" ht="39.599998474121094" hidden="0" customHeight="1">
      <x:c r="A209" s="60" t="str">
        <x:v>历史低估关注</x:v>
      </x:c>
      <x:c r="B209" s="66" t="str">
        <x:v>600866.SH</x:v>
      </x:c>
      <x:c r="C209" s="60" t="str">
        <x:v>星湖科技</x:v>
      </x:c>
      <x:c r="D209" s="60" t="str">
        <x:v>农林牧渔</x:v>
      </x:c>
      <x:c r="E209" s="60" t="str">
        <x:v>饲料</x:v>
      </x:c>
      <x:c r="F209" s="60" t="str">
        <x:v>畜禽饲料</x:v>
      </x:c>
      <x:c r="G209" s="61" t="n">
        <x:v>1</x:v>
      </x:c>
      <x:c r="H209" s="67" t="n">
        <x:v>72.5878</x:v>
      </x:c>
      <x:c r="I209" s="68" t="n">
        <x:v>1</x:v>
      </x:c>
      <x:c r="J209" s="69" t="str">
        <x:v>历史偏低位</x:v>
      </x:c>
      <x:c r="K209" s="69" t="str">
        <x:v>完整</x:v>
      </x:c>
      <x:c r="L209" s="69" t="str">
        <x:v>2026-08-19</x:v>
      </x:c>
      <x:c r="M209" s="69" t="str">
        <x:v>2026-08-24</x:v>
      </x:c>
      <x:c r="N209" s="70" t="n">
        <x:v>4.35</x:v>
      </x:c>
      <x:c r="O209" s="70" t="n">
        <x:v>15.7863</x:v>
      </x:c>
      <x:c r="P209" s="68" t="n">
        <x:v>0.5733</x:v>
      </x:c>
      <x:c r="Q209" s="70" t="n">
        <x:v>0.8844</x:v>
      </x:c>
      <x:c r="R209" s="68" t="n">
        <x:v>0.0052</x:v>
      </x:c>
      <x:c r="S209" s="68" t="n">
        <x:v>0.087356</x:v>
      </x:c>
      <x:c r="T209" s="68" t="n">
        <x:v>0.006</x:v>
      </x:c>
      <x:c r="U209" s="68" t="n">
        <x:v>0.1948</x:v>
      </x:c>
      <x:c r="V209" s="71" t="n">
        <x:v>70.28</x:v>
      </x:c>
      <x:c r="W209" s="71" t="n">
        <x:v>38.22771968</x:v>
      </x:c>
      <x:c r="X209" s="71" t="n">
        <x:v>-0.3623576</x:v>
      </x:c>
      <x:c r="Y209" s="68" t="n">
        <x:v>0.1216</x:v>
      </x:c>
      <x:c r="Z209" s="68" t="n">
        <x:v>0.16519999999999999</x:v>
      </x:c>
      <x:c r="AA209" s="68" t="n">
        <x:v>0.061</x:v>
      </x:c>
      <x:c r="AB209" s="68" t="n">
        <x:v>15.318157753556157</x:v>
      </x:c>
      <x:c r="AC209" s="68" t="n">
        <x:v>0.5097999999999999</x:v>
      </x:c>
      <x:c r="AD209" s="60" t="str">
        <x:v>盈利能力 98、成长稳定 87</x:v>
      </x:c>
      <x:c r="AE209" s="60" t="str">
        <x:v>现金流 57、同行估值 58</x:v>
      </x:c>
    </x:row>
    <x:row r="210" ht="39.599998474121094" hidden="0" customHeight="1">
      <x:c r="A210" s="60" t="str">
        <x:v>历史低估关注</x:v>
      </x:c>
      <x:c r="B210" s="66" t="str">
        <x:v>300651.SZ</x:v>
      </x:c>
      <x:c r="C210" s="60" t="str">
        <x:v>金陵体育</x:v>
      </x:c>
      <x:c r="D210" s="60" t="str">
        <x:v>社会服务</x:v>
      </x:c>
      <x:c r="E210" s="60" t="str">
        <x:v>体育</x:v>
      </x:c>
      <x:c r="F210" s="60" t="str">
        <x:v>体育</x:v>
      </x:c>
      <x:c r="G210" s="61" t="n">
        <x:v>1</x:v>
      </x:c>
      <x:c r="H210" s="67" t="n">
        <x:v>72.5</x:v>
      </x:c>
      <x:c r="I210" s="68" t="n">
        <x:v>1</x:v>
      </x:c>
      <x:c r="J210" s="69" t="str">
        <x:v>历史偏低位</x:v>
      </x:c>
      <x:c r="K210" s="69" t="str">
        <x:v>完整</x:v>
      </x:c>
      <x:c r="L210" s="69" t="str">
        <x:v>2026-08-19</x:v>
      </x:c>
      <x:c r="M210" s="69" t="str">
        <x:v>2026-08-24</x:v>
      </x:c>
      <x:c r="N210" s="70" t="n">
        <x:v>16.92</x:v>
      </x:c>
      <x:c r="O210" s="70" t="n">
        <x:v>37.8691</x:v>
      </x:c>
      <x:c r="P210" s="68" t="n">
        <x:v>0.2443</x:v>
      </x:c>
      <x:c r="Q210" s="70" t="n">
        <x:v>2.1836</x:v>
      </x:c>
      <x:c r="R210" s="68" t="n">
        <x:v>0.1699</x:v>
      </x:c>
      <x:c r="S210" s="68" t="n">
        <x:v>0.011819999999999999</x:v>
      </x:c>
      <x:c r="T210" s="68" t="n">
        <x:v>0.0809</x:v>
      </x:c>
      <x:c r="U210" s="68" t="n">
        <x:v>0.165</x:v>
      </x:c>
      <x:c r="V210" s="71" t="n">
        <x:v>23.81</x:v>
      </x:c>
      <x:c r="W210" s="71" t="n">
        <x:v>1.62874992</x:v>
      </x:c>
      <x:c r="X210" s="71" t="n">
        <x:v>0.2554836</x:v>
      </x:c>
      <x:c r="Y210" s="68" t="n">
        <x:v>0.0645</x:v>
      </x:c>
      <x:c r="Z210" s="68" t="n">
        <x:v>0.31579999999999997</x:v>
      </x:c>
      <x:c r="AA210" s="68" t="n">
        <x:v>0.146</x:v>
      </x:c>
      <x:c r="AB210" s="68" t="n">
        <x:v>2.0622252074105734</x:v>
      </x:c>
      <x:c r="AC210" s="68" t="n">
        <x:v>0.18460000000000001</x:v>
      </x:c>
      <x:c r="AD210" s="60" t="str">
        <x:v>盈利能力 100、同行估值 80</x:v>
      </x:c>
      <x:c r="AE210" s="60" t="str">
        <x:v>现金流 50、成长稳定 65</x:v>
      </x:c>
    </x:row>
    <x:row r="211" ht="39.599998474121094" hidden="0" customHeight="1">
      <x:c r="A211" s="60" t="str">
        <x:v>历史低估关注</x:v>
      </x:c>
      <x:c r="B211" s="66" t="str">
        <x:v>003025.SZ</x:v>
      </x:c>
      <x:c r="C211" s="60" t="str">
        <x:v>思进智能</x:v>
      </x:c>
      <x:c r="D211" s="60" t="str">
        <x:v>机械设备</x:v>
      </x:c>
      <x:c r="E211" s="60" t="str">
        <x:v>通用设备</x:v>
      </x:c>
      <x:c r="F211" s="60" t="str">
        <x:v>机床制造</x:v>
      </x:c>
      <x:c r="G211" s="61" t="n">
        <x:v>1</x:v>
      </x:c>
      <x:c r="H211" s="67" t="n">
        <x:v>72.4867</x:v>
      </x:c>
      <x:c r="I211" s="68" t="n">
        <x:v>1</x:v>
      </x:c>
      <x:c r="J211" s="69" t="str">
        <x:v>历史偏低位</x:v>
      </x:c>
      <x:c r="K211" s="69" t="str">
        <x:v>完整</x:v>
      </x:c>
      <x:c r="L211" s="69" t="str">
        <x:v>2026-08-19</x:v>
      </x:c>
      <x:c r="M211" s="69" t="str">
        <x:v>2026-08-24</x:v>
      </x:c>
      <x:c r="N211" s="70" t="n">
        <x:v>12.07</x:v>
      </x:c>
      <x:c r="O211" s="70" t="n">
        <x:v>22.3485</x:v>
      </x:c>
      <x:c r="P211" s="68" t="n">
        <x:v>0.2047</x:v>
      </x:c>
      <x:c r="Q211" s="70" t="n">
        <x:v>2.6354</x:v>
      </x:c>
      <x:c r="R211" s="68" t="n">
        <x:v>0.039599999999999996</x:v>
      </x:c>
      <x:c r="S211" s="68" t="n">
        <x:v>0.01657</x:v>
      </x:c>
      <x:c r="T211" s="68" t="n">
        <x:v>0.5593</x:v>
      </x:c>
      <x:c r="U211" s="68" t="n">
        <x:v>0.26789999999999997</x:v>
      </x:c>
      <x:c r="V211" s="71" t="n">
        <x:v>34.87</x:v>
      </x:c>
      <x:c r="W211" s="71" t="n">
        <x:v>2.0978784</x:v>
      </x:c>
      <x:c r="X211" s="71" t="n">
        <x:v>0.3855128</x:v>
      </x:c>
      <x:c r="Y211" s="68" t="n">
        <x:v>0.1258</x:v>
      </x:c>
      <x:c r="Z211" s="68" t="n">
        <x:v>0.3814</x:v>
      </x:c>
      <x:c r="AA211" s="68" t="n">
        <x:v>0.21059999999999998</x:v>
      </x:c>
      <x:c r="AB211" s="68" t="n">
        <x:v>2.5444754104143885</x:v>
      </x:c>
      <x:c r="AC211" s="68" t="n">
        <x:v>0.23739999999999997</x:v>
      </x:c>
      <x:c r="AD211" s="60" t="str">
        <x:v>同行估值 92、盈利能力 87</x:v>
      </x:c>
      <x:c r="AE211" s="60" t="str">
        <x:v>行业地位 34、成长稳定 78</x:v>
      </x:c>
    </x:row>
    <x:row r="212" ht="39.599998474121094" hidden="0" customHeight="1">
      <x:c r="A212" s="60" t="str">
        <x:v>历史低估关注</x:v>
      </x:c>
      <x:c r="B212" s="66" t="str">
        <x:v>301267.SZ</x:v>
      </x:c>
      <x:c r="C212" s="60" t="str">
        <x:v>华厦眼科</x:v>
      </x:c>
      <x:c r="D212" s="60" t="str">
        <x:v>医药医疗</x:v>
      </x:c>
      <x:c r="E212" s="60" t="str">
        <x:v>医疗服务</x:v>
      </x:c>
      <x:c r="F212" s="60" t="str">
        <x:v>医院</x:v>
      </x:c>
      <x:c r="G212" s="61" t="n">
        <x:v>2</x:v>
      </x:c>
      <x:c r="H212" s="67" t="n">
        <x:v>72.4821</x:v>
      </x:c>
      <x:c r="I212" s="68" t="n">
        <x:v>1</x:v>
      </x:c>
      <x:c r="J212" s="69" t="str">
        <x:v>历史偏低位</x:v>
      </x:c>
      <x:c r="K212" s="69" t="str">
        <x:v>完整</x:v>
      </x:c>
      <x:c r="L212" s="69" t="str">
        <x:v>2026-08-19</x:v>
      </x:c>
      <x:c r="M212" s="69" t="str">
        <x:v>2026-08-24</x:v>
      </x:c>
      <x:c r="N212" s="70" t="n">
        <x:v>15.83</x:v>
      </x:c>
      <x:c r="O212" s="70" t="n">
        <x:v>28.7418</x:v>
      </x:c>
      <x:c r="P212" s="68" t="n">
        <x:v>0.11810000000000001</x:v>
      </x:c>
      <x:c r="Q212" s="70" t="n">
        <x:v>2.4435</x:v>
      </x:c>
      <x:c r="R212" s="68" t="n">
        <x:v>0.055999999999999994</x:v>
      </x:c>
      <x:c r="S212" s="68" t="n">
        <x:v>0.016425000000000002</x:v>
      </x:c>
      <x:c r="T212" s="68" t="n">
        <x:v>0.1629</x:v>
      </x:c>
      <x:c r="U212" s="68" t="n">
        <x:v>0.11230000000000001</x:v>
      </x:c>
      <x:c r="V212" s="71" t="n">
        <x:v>132.89</x:v>
      </x:c>
      <x:c r="W212" s="71" t="n">
        <x:v>8.67365952</x:v>
      </x:c>
      <x:c r="X212" s="71" t="n">
        <x:v>0.07008082</x:v>
      </x:c>
      <x:c r="Y212" s="68" t="n">
        <x:v>0.07690000000000001</x:v>
      </x:c>
      <x:c r="Z212" s="68" t="n">
        <x:v>0.43310000000000004</x:v>
      </x:c>
      <x:c r="AA212" s="68" t="n">
        <x:v>0.10460000000000001</x:v>
      </x:c>
      <x:c r="AB212" s="68" t="n">
        <x:v>24.182308369108696</x:v>
      </x:c>
      <x:c r="AC212" s="68" t="n">
        <x:v>0.2783</x:v>
      </x:c>
      <x:c r="AD212" s="60" t="str">
        <x:v>盈利能力 83、同行估值 81</x:v>
      </x:c>
      <x:c r="AE212" s="60" t="str">
        <x:v>成长稳定 54、现金流 58</x:v>
      </x:c>
    </x:row>
    <x:row r="213" ht="39.599998474121094" hidden="0" customHeight="1">
      <x:c r="A213" s="60" t="str">
        <x:v>历史低估关注</x:v>
      </x:c>
      <x:c r="B213" s="66" t="str">
        <x:v>002772.SZ</x:v>
      </x:c>
      <x:c r="C213" s="60" t="str">
        <x:v>众兴菌业</x:v>
      </x:c>
      <x:c r="D213" s="60" t="str">
        <x:v>农林牧渔</x:v>
      </x:c>
      <x:c r="E213" s="60" t="str">
        <x:v>种植业</x:v>
      </x:c>
      <x:c r="F213" s="60" t="str">
        <x:v>食用菌</x:v>
      </x:c>
      <x:c r="G213" s="61" t="n">
        <x:v>1</x:v>
      </x:c>
      <x:c r="H213" s="67" t="n">
        <x:v>72.3333</x:v>
      </x:c>
      <x:c r="I213" s="68" t="n">
        <x:v>1</x:v>
      </x:c>
      <x:c r="J213" s="69" t="str">
        <x:v>历史偏低位</x:v>
      </x:c>
      <x:c r="K213" s="69" t="str">
        <x:v>完整</x:v>
      </x:c>
      <x:c r="L213" s="69" t="str">
        <x:v>2026-08-19</x:v>
      </x:c>
      <x:c r="M213" s="69" t="str">
        <x:v>2026-08-24</x:v>
      </x:c>
      <x:c r="N213" s="70" t="n">
        <x:v>10.66</x:v>
      </x:c>
      <x:c r="O213" s="70" t="n">
        <x:v>8.8878</x:v>
      </x:c>
      <x:c r="P213" s="68" t="n">
        <x:v>0.0276</x:v>
      </x:c>
      <x:c r="Q213" s="70" t="n">
        <x:v>1.0988</x:v>
      </x:c>
      <x:c r="R213" s="68" t="n">
        <x:v>0.6957</x:v>
      </x:c>
      <x:c r="S213" s="68" t="n">
        <x:v>0.042214</x:v>
      </x:c>
      <x:c r="T213" s="68" t="n">
        <x:v>0.1549</x:v>
      </x:c>
      <x:c r="U213" s="68" t="n">
        <x:v>0.2927</x:v>
      </x:c>
      <x:c r="V213" s="71" t="n">
        <x:v>38.52</x:v>
      </x:c>
      <x:c r="W213" s="71" t="n">
        <x:v>6.22975936</x:v>
      </x:c>
      <x:c r="X213" s="71" t="n">
        <x:v>1.30615008</x:v>
      </x:c>
      <x:c r="Y213" s="68" t="n">
        <x:v>0.0987</x:v>
      </x:c>
      <x:c r="Z213" s="68" t="n">
        <x:v>0.28600000000000003</x:v>
      </x:c>
      <x:c r="AA213" s="68" t="n">
        <x:v>0.1595</x:v>
      </x:c>
      <x:c r="AB213" s="68" t="n">
        <x:v>1.5503400650559238</x:v>
      </x:c>
      <x:c r="AC213" s="68" t="n">
        <x:v>0.5014</x:v>
      </x:c>
      <x:c r="AD213" s="60" t="str">
        <x:v>同行估值 100、盈利能力 90</x:v>
      </x:c>
      <x:c r="AE213" s="60" t="str">
        <x:v>稳健性 23、现金流 43</x:v>
      </x:c>
    </x:row>
    <x:row r="214" ht="39.599998474121094" hidden="0" customHeight="1">
      <x:c r="A214" s="60" t="str">
        <x:v>历史低估关注</x:v>
      </x:c>
      <x:c r="B214" s="66" t="str">
        <x:v>688122.SH</x:v>
      </x:c>
      <x:c r="C214" s="60" t="str">
        <x:v>西部超导</x:v>
      </x:c>
      <x:c r="D214" s="60" t="str">
        <x:v>有色</x:v>
      </x:c>
      <x:c r="E214" s="60" t="str">
        <x:v>稀有金属</x:v>
      </x:c>
      <x:c r="F214" s="60" t="str">
        <x:v>钛</x:v>
      </x:c>
      <x:c r="G214" s="61" t="n">
        <x:v>1</x:v>
      </x:c>
      <x:c r="H214" s="67" t="n">
        <x:v>72.3</x:v>
      </x:c>
      <x:c r="I214" s="68" t="n">
        <x:v>1</x:v>
      </x:c>
      <x:c r="J214" s="69" t="str">
        <x:v>历史偏低位</x:v>
      </x:c>
      <x:c r="K214" s="69" t="str">
        <x:v>完整</x:v>
      </x:c>
      <x:c r="L214" s="69" t="str">
        <x:v>2026-08-19</x:v>
      </x:c>
      <x:c r="M214" s="69" t="str">
        <x:v>2026-08-24</x:v>
      </x:c>
      <x:c r="N214" s="70" t="n">
        <x:v>48.83</x:v>
      </x:c>
      <x:c r="O214" s="70" t="n">
        <x:v>44.4854</x:v>
      </x:c>
      <x:c r="P214" s="68" t="n">
        <x:v>0.5401</x:v>
      </x:c>
      <x:c r="Q214" s="70" t="n">
        <x:v>4.4215</x:v>
      </x:c>
      <x:c r="R214" s="68" t="n">
        <x:v>0.1709</x:v>
      </x:c>
      <x:c r="S214" s="68" t="n">
        <x:v>0.021503</x:v>
      </x:c>
      <x:c r="T214" s="68" t="n">
        <x:v>0.13019999999999998</x:v>
      </x:c>
      <x:c r="U214" s="68" t="n">
        <x:v>0.2804</x:v>
      </x:c>
      <x:c r="V214" s="71" t="n">
        <x:v>311.19</x:v>
      </x:c>
      <x:c r="W214" s="71" t="n">
        <x:v>12.36827776</x:v>
      </x:c>
      <x:c r="X214" s="71" t="n">
        <x:v>1.89611344</x:v>
      </x:c>
      <x:c r="Y214" s="68" t="n">
        <x:v>0.1216</x:v>
      </x:c>
      <x:c r="Z214" s="68" t="n">
        <x:v>0.34509999999999996</x:v>
      </x:c>
      <x:c r="AA214" s="68" t="n">
        <x:v>0.1826</x:v>
      </x:c>
      <x:c r="AB214" s="68" t="n">
        <x:v>3.7467763321165</x:v>
      </x:c>
      <x:c r="AC214" s="68" t="n">
        <x:v>0.4813</x:v>
      </x:c>
      <x:c r="AD214" s="60" t="str">
        <x:v>行业地位 94、成长稳定 90</x:v>
      </x:c>
      <x:c r="AE214" s="60" t="str">
        <x:v>稳健性 36、同行估值 48</x:v>
      </x:c>
    </x:row>
    <x:row r="215" ht="39.599998474121094" hidden="0" customHeight="1">
      <x:c r="A215" s="60" t="str">
        <x:v>历史低估关注</x:v>
      </x:c>
      <x:c r="B215" s="66" t="str">
        <x:v>000987.SZ</x:v>
      </x:c>
      <x:c r="C215" s="60" t="str">
        <x:v>越秀资本</x:v>
      </x:c>
      <x:c r="D215" s="60" t="str">
        <x:v>非银金融</x:v>
      </x:c>
      <x:c r="E215" s="60" t="str">
        <x:v>多元金融</x:v>
      </x:c>
      <x:c r="F215" s="60" t="str">
        <x:v>金融控股</x:v>
      </x:c>
      <x:c r="G215" s="61" t="n">
        <x:v>1</x:v>
      </x:c>
      <x:c r="H215" s="67" t="n">
        <x:v>72.2857</x:v>
      </x:c>
      <x:c r="I215" s="68" t="n">
        <x:v>1</x:v>
      </x:c>
      <x:c r="J215" s="69" t="str">
        <x:v>历史偏低位</x:v>
      </x:c>
      <x:c r="K215" s="69" t="str">
        <x:v>完整</x:v>
      </x:c>
      <x:c r="L215" s="69" t="str">
        <x:v>2026-08-19</x:v>
      </x:c>
      <x:c r="M215" s="69" t="str">
        <x:v>2026-08-24</x:v>
      </x:c>
      <x:c r="N215" s="70" t="n">
        <x:v>7.37</x:v>
      </x:c>
      <x:c r="O215" s="70" t="n">
        <x:v>8.8892</x:v>
      </x:c>
      <x:c r="P215" s="68" t="n">
        <x:v>0.0053</x:v>
      </x:c>
      <x:c r="Q215" s="70" t="n">
        <x:v>1.0719</x:v>
      </x:c>
      <x:c r="R215" s="68" t="n">
        <x:v>0.203</x:v>
      </x:c>
      <x:c r="S215" s="68" t="n">
        <x:v>0.029851000000000003</x:v>
      </x:c>
      <x:c r="T215" s="68" t="n">
        <x:v>0.4143</x:v>
      </x:c>
      <x:c r="U215" s="68" t="n">
        <x:v>0.2075</x:v>
      </x:c>
      <x:c r="V215" s="71" t="n">
        <x:v>375.78</x:v>
      </x:c>
      <x:c r="W215" s="71" t="n">
        <x:v>7.73400128</x:v>
      </x:c>
      <x:c r="X215" s="71" t="n">
        <x:v>5.09093248</x:v>
      </x:c>
      <x:c r="Y215" s="68" t="n">
        <x:v>0.11259999999999999</x:v>
      </x:c>
      <x:c r="Z215" s="68" t="n">
        <x:v>0.5291</x:v>
      </x:c>
      <x:c r="AA215" s="68" t="n">
        <x:v>0.9555</x:v>
      </x:c>
      <x:c r="AB215" s="68" t="n">
        <x:v>2.5845491315571327</x:v>
      </x:c>
      <x:c r="AC215" s="68" t="n">
        <x:v>0.7655</x:v>
      </x:c>
      <x:c r="AD215" s="60" t="str">
        <x:v>行业地位 92、盈利能力 76</x:v>
      </x:c>
      <x:c r="AE215" s="60" t="str">
        <x:v>现金流 50、稳健性 58</x:v>
      </x:c>
    </x:row>
    <x:row r="216" ht="39.599998474121094" hidden="0" customHeight="1">
      <x:c r="A216" s="60" t="str">
        <x:v>历史低估关注</x:v>
      </x:c>
      <x:c r="B216" s="66" t="str">
        <x:v>603049.SH</x:v>
      </x:c>
      <x:c r="C216" s="60" t="str">
        <x:v>中策橡胶</x:v>
      </x:c>
      <x:c r="D216" s="60" t="str">
        <x:v>汽车</x:v>
      </x:c>
      <x:c r="E216" s="60" t="str">
        <x:v>汽车零部件</x:v>
      </x:c>
      <x:c r="F216" s="60" t="str">
        <x:v>轮胎轮毂</x:v>
      </x:c>
      <x:c r="G216" s="61" t="n">
        <x:v>2</x:v>
      </x:c>
      <x:c r="H216" s="67" t="n">
        <x:v>72.1872</x:v>
      </x:c>
      <x:c r="I216" s="68" t="n">
        <x:v>0.85</x:v>
      </x:c>
      <x:c r="J216" s="69" t="str">
        <x:v>历史偏低位</x:v>
      </x:c>
      <x:c r="K216" s="69" t="str">
        <x:v>部分可用</x:v>
      </x:c>
      <x:c r="L216" s="69" t="str">
        <x:v>2026-08-19</x:v>
      </x:c>
      <x:c r="M216" s="69" t="str">
        <x:v>2026-08-24</x:v>
      </x:c>
      <x:c r="N216" s="70" t="n">
        <x:v>49.55</x:v>
      </x:c>
      <x:c r="O216" s="70" t="n">
        <x:v>10.2788</x:v>
      </x:c>
      <x:c r="P216" s="68" t="n">
        <x:v>0.3193</x:v>
      </x:c>
      <x:c r="Q216" s="70" t="n">
        <x:v>1.6954</x:v>
      </x:c>
      <x:c r="R216" s="68" t="n">
        <x:v>0.2618</x:v>
      </x:c>
      <x:c r="S216" s="68" t="n">
        <x:v>0.02886</x:v>
      </x:c>
      <x:c r="T216" s="68" t="n">
        <x:v>0.1629</x:v>
      </x:c>
      <x:c r="U216" s="68" t="n">
        <x:v>0.248</x:v>
      </x:c>
      <x:c r="V216" s="71" t="n">
        <x:v>429.37</x:v>
      </x:c>
      <x:c r="W216" s="71" t="n">
        <x:v>112.73603072</x:v>
      </x:c>
      <x:c r="X216" s="71" t="n">
        <x:v>6.34259072</x:v>
      </x:c>
      <x:c r="Y216" s="68" t="n">
        <x:v>0.1932</x:v>
      </x:c>
      <x:c r="Z216" s="68" t="n">
        <x:v>0.1966</x:v>
      </x:c>
      <x:c r="AA216" s="68" t="n">
        <x:v>0.09230000000000001</x:v>
      </x:c>
      <x:c r="AB216" s="68" t="n">
        <x:v>1.6929236638494622</x:v>
      </x:c>
      <x:c r="AC216" s="68" t="n">
        <x:v>0.5249</x:v>
      </x:c>
      <x:c r="AD216" s="60" t="str">
        <x:v>行业地位 97、同行估值 80</x:v>
      </x:c>
      <x:c r="AE216" s="60" t="str">
        <x:v>现金流 37、稳健性 41</x:v>
      </x:c>
    </x:row>
    <x:row r="217" ht="39.599998474121094" hidden="0" customHeight="1">
      <x:c r="A217" s="60" t="str">
        <x:v>历史低估关注</x:v>
      </x:c>
      <x:c r="B217" s="66" t="str">
        <x:v>688088.SH</x:v>
      </x:c>
      <x:c r="C217" s="60" t="str">
        <x:v>虹软科技</x:v>
      </x:c>
      <x:c r="D217" s="60" t="str">
        <x:v>计算机</x:v>
      </x:c>
      <x:c r="E217" s="60" t="str">
        <x:v>软件服务</x:v>
      </x:c>
      <x:c r="F217" s="60" t="str">
        <x:v>新兴软件</x:v>
      </x:c>
      <x:c r="G217" s="61" t="n">
        <x:v>2</x:v>
      </x:c>
      <x:c r="H217" s="67" t="n">
        <x:v>72.0938</x:v>
      </x:c>
      <x:c r="I217" s="68" t="n">
        <x:v>1</x:v>
      </x:c>
      <x:c r="J217" s="69" t="str">
        <x:v>历史偏低位</x:v>
      </x:c>
      <x:c r="K217" s="69" t="str">
        <x:v>完整</x:v>
      </x:c>
      <x:c r="L217" s="69" t="str">
        <x:v>2026-08-19</x:v>
      </x:c>
      <x:c r="M217" s="69" t="str">
        <x:v>2026-08-24</x:v>
      </x:c>
      <x:c r="N217" s="70" t="n">
        <x:v>31.74</x:v>
      </x:c>
      <x:c r="O217" s="70" t="n">
        <x:v>48.4469</x:v>
      </x:c>
      <x:c r="P217" s="68" t="n">
        <x:v>0.0051</x:v>
      </x:c>
      <x:c r="Q217" s="70" t="n">
        <x:v>4.5938</x:v>
      </x:c>
      <x:c r="R217" s="68" t="n">
        <x:v>0.24309999999999998</x:v>
      </x:c>
      <x:c r="S217" s="68" t="n">
        <x:v>0.010082</x:v>
      </x:c>
      <x:c r="T217" s="68" t="n">
        <x:v>0.1429</x:v>
      </x:c>
      <x:c r="U217" s="68" t="n">
        <x:v>0.1304</x:v>
      </x:c>
      <x:c r="V217" s="71" t="n">
        <x:v>122.04</x:v>
      </x:c>
      <x:c r="W217" s="71" t="n">
        <x:v>2.95424192</x:v>
      </x:c>
      <x:c r="X217" s="71" t="n">
        <x:v>1.16688584</x:v>
      </x:c>
      <x:c r="Y217" s="68" t="n">
        <x:v>0.0946</x:v>
      </x:c>
      <x:c r="Z217" s="68" t="n">
        <x:v>0.8935</x:v>
      </x:c>
      <x:c r="AA217" s="68" t="n">
        <x:v>0.2799</x:v>
      </x:c>
      <x:c r="AB217" s="68" t="n">
        <x:v>0.4929793303516306</x:v>
      </x:c>
      <x:c r="AC217" s="68" t="n">
        <x:v>0.0951</x:v>
      </x:c>
      <x:c r="AD217" s="60" t="str">
        <x:v>盈利能力 100、成长稳定 80</x:v>
      </x:c>
      <x:c r="AE217" s="60" t="str">
        <x:v>现金流 41、稳健性 55</x:v>
      </x:c>
    </x:row>
    <x:row r="218" ht="39.599998474121094" hidden="0" customHeight="1">
      <x:c r="A218" s="60" t="str">
        <x:v>历史低估关注</x:v>
      </x:c>
      <x:c r="B218" s="66" t="str">
        <x:v>301303.SZ</x:v>
      </x:c>
      <x:c r="C218" s="60" t="str">
        <x:v>真兰仪表</x:v>
      </x:c>
      <x:c r="D218" s="60" t="str">
        <x:v>机械设备</x:v>
      </x:c>
      <x:c r="E218" s="60" t="str">
        <x:v>通用设备</x:v>
      </x:c>
      <x:c r="F218" s="60" t="str">
        <x:v>仪器仪表</x:v>
      </x:c>
      <x:c r="G218" s="61" t="n">
        <x:v>2</x:v>
      </x:c>
      <x:c r="H218" s="67" t="n">
        <x:v>72.0754</x:v>
      </x:c>
      <x:c r="I218" s="68" t="n">
        <x:v>0.85</x:v>
      </x:c>
      <x:c r="J218" s="69" t="str">
        <x:v>历史偏低位</x:v>
      </x:c>
      <x:c r="K218" s="69" t="str">
        <x:v>完整</x:v>
      </x:c>
      <x:c r="L218" s="69" t="str">
        <x:v>2026-08-19</x:v>
      </x:c>
      <x:c r="M218" s="69" t="str">
        <x:v>2026-08-24</x:v>
      </x:c>
      <x:c r="N218" s="70" t="n">
        <x:v>13.67</x:v>
      </x:c>
      <x:c r="O218" s="70" t="n">
        <x:v>17.1323</x:v>
      </x:c>
      <x:c r="P218" s="68" t="n">
        <x:v>0.3018</x:v>
      </x:c>
      <x:c r="Q218" s="70" t="n">
        <x:v>1.5973</x:v>
      </x:c>
      <x:c r="R218" s="68" t="n">
        <x:v>0.13</x:v>
      </x:c>
      <x:c r="S218" s="68" t="n">
        <x:v>0.027798</x:v>
      </x:c>
      <x:c r="T218" s="68" t="n">
        <x:v>0.3215</x:v>
      </x:c>
      <x:c r="U218" s="68" t="n">
        <x:v>0.2511</x:v>
      </x:c>
      <x:c r="V218" s="71" t="n">
        <x:v>57.44</x:v>
      </x:c>
      <x:c r="W218" s="71" t="n">
        <x:v>5.29458592</x:v>
      </x:c>
      <x:c r="X218" s="71" t="n">
        <x:v>0.93119184</x:v>
      </x:c>
      <x:c r="Y218" s="68" t="n">
        <x:v>0.1018</x:v>
      </x:c>
      <x:c r="Z218" s="68" t="n">
        <x:v>0.40409999999999996</x:v>
      </x:c>
      <x:c r="AA218" s="68" t="n">
        <x:v>0.1956</x:v>
      </x:c>
      <x:c r="AB218" s="68" t="n">
        <x:v>2.3125408830902128</x:v>
      </x:c>
      <x:c r="AC218" s="68" t="n">
        <x:v>0.2686</x:v>
      </x:c>
      <x:c r="AD218" s="60" t="str">
        <x:v>同行估值 92、行业地位 82</x:v>
      </x:c>
      <x:c r="AE218" s="60" t="str">
        <x:v>稳健性 56、现金流 57</x:v>
      </x:c>
    </x:row>
    <x:row r="219" ht="39.599998474121094" hidden="0" customHeight="1">
      <x:c r="A219" s="60" t="str">
        <x:v>历史低估关注</x:v>
      </x:c>
      <x:c r="B219" s="66" t="str">
        <x:v>600827.SH</x:v>
      </x:c>
      <x:c r="C219" s="60" t="str">
        <x:v>百联股份</x:v>
      </x:c>
      <x:c r="D219" s="60" t="str">
        <x:v>商贸</x:v>
      </x:c>
      <x:c r="E219" s="60" t="str">
        <x:v>一般零售</x:v>
      </x:c>
      <x:c r="F219" s="60" t="str">
        <x:v>多业态零售</x:v>
      </x:c>
      <x:c r="G219" s="61" t="n">
        <x:v>1</x:v>
      </x:c>
      <x:c r="H219" s="67" t="n">
        <x:v>71.7901</x:v>
      </x:c>
      <x:c r="I219" s="68" t="n">
        <x:v>1</x:v>
      </x:c>
      <x:c r="J219" s="69" t="str">
        <x:v>历史偏低位</x:v>
      </x:c>
      <x:c r="K219" s="69" t="str">
        <x:v>完整</x:v>
      </x:c>
      <x:c r="L219" s="69" t="str">
        <x:v>2026-08-19</x:v>
      </x:c>
      <x:c r="M219" s="69" t="str">
        <x:v>2026-08-24</x:v>
      </x:c>
      <x:c r="N219" s="70" t="n">
        <x:v>7.49</x:v>
      </x:c>
      <x:c r="O219" s="70" t="n">
        <x:v>10.8637</x:v>
      </x:c>
      <x:c r="P219" s="68" t="n">
        <x:v>0.1351</x:v>
      </x:c>
      <x:c r="Q219" s="70" t="n">
        <x:v>0.6494</x:v>
      </x:c>
      <x:c r="R219" s="68" t="n">
        <x:v>0.0059</x:v>
      </x:c>
      <x:c r="S219" s="68" t="n">
        <x:v>0.020027</x:v>
      </x:c>
      <x:c r="T219" s="68" t="n">
        <x:v>0.2352</x:v>
      </x:c>
      <x:c r="U219" s="68" t="n">
        <x:v>0.12539999999999998</x:v>
      </x:c>
      <x:c r="V219" s="71" t="n">
        <x:v>134.53</x:v>
      </x:c>
      <x:c r="W219" s="71" t="n">
        <x:v>57.305472</x:v>
      </x:c>
      <x:c r="X219" s="71" t="n">
        <x:v>3.36019904</x:v>
      </x:c>
      <x:c r="Y219" s="68" t="n">
        <x:v>0.0316</x:v>
      </x:c>
      <x:c r="Z219" s="68" t="n">
        <x:v>0.249</x:v>
      </x:c>
      <x:c r="AA219" s="68" t="n">
        <x:v>0.022400000000000003</x:v>
      </x:c>
      <x:c r="AB219" s="68" t="n">
        <x:v>3.6718746756144536</x:v>
      </x:c>
      <x:c r="AC219" s="68" t="n">
        <x:v>0.6123</x:v>
      </x:c>
      <x:c r="AD219" s="60" t="str">
        <x:v>行业地位 100、现金流 86</x:v>
      </x:c>
      <x:c r="AE219" s="60" t="str">
        <x:v>盈利能力 36、成长稳定 50</x:v>
      </x:c>
    </x:row>
    <x:row r="220" ht="39.599998474121094" hidden="0" customHeight="1">
      <x:c r="A220" s="60" t="str">
        <x:v>历史低估关注</x:v>
      </x:c>
      <x:c r="B220" s="66" t="str">
        <x:v>605050.SH</x:v>
      </x:c>
      <x:c r="C220" s="60" t="str">
        <x:v>福然德</x:v>
      </x:c>
      <x:c r="D220" s="60" t="str">
        <x:v>交通运输</x:v>
      </x:c>
      <x:c r="E220" s="60" t="str">
        <x:v>物流</x:v>
      </x:c>
      <x:c r="F220" s="60" t="str">
        <x:v>供应链服务</x:v>
      </x:c>
      <x:c r="G220" s="61" t="n">
        <x:v>2</x:v>
      </x:c>
      <x:c r="H220" s="67" t="n">
        <x:v>71.7776</x:v>
      </x:c>
      <x:c r="I220" s="68" t="n">
        <x:v>1</x:v>
      </x:c>
      <x:c r="J220" s="69" t="str">
        <x:v>历史偏低位</x:v>
      </x:c>
      <x:c r="K220" s="69" t="str">
        <x:v>完整</x:v>
      </x:c>
      <x:c r="L220" s="69" t="str">
        <x:v>2026-08-19</x:v>
      </x:c>
      <x:c r="M220" s="69" t="str">
        <x:v>2026-08-24</x:v>
      </x:c>
      <x:c r="N220" s="70" t="n">
        <x:v>10.11</x:v>
      </x:c>
      <x:c r="O220" s="70" t="n">
        <x:v>13.423</x:v>
      </x:c>
      <x:c r="P220" s="68" t="n">
        <x:v>0.1858</x:v>
      </x:c>
      <x:c r="Q220" s="70" t="n">
        <x:v>1.1156</x:v>
      </x:c>
      <x:c r="R220" s="68" t="n">
        <x:v>0.0986</x:v>
      </x:c>
      <x:c r="S220" s="68" t="n">
        <x:v>0.039565</x:v>
      </x:c>
      <x:c r="T220" s="68" t="n">
        <x:v>0.2091</x:v>
      </x:c>
      <x:c r="U220" s="68" t="n">
        <x:v>0.16449999999999998</x:v>
      </x:c>
      <x:c r="V220" s="71" t="n">
        <x:v>50.02</x:v>
      </x:c>
      <x:c r="W220" s="71" t="n">
        <x:v>35.32625664</x:v>
      </x:c>
      <x:c r="X220" s="71" t="n">
        <x:v>1.32068296</x:v>
      </x:c>
      <x:c r="Y220" s="68" t="n">
        <x:v>0.0862</x:v>
      </x:c>
      <x:c r="Z220" s="68" t="n">
        <x:v>0.0593</x:v>
      </x:c>
      <x:c r="AA220" s="68" t="n">
        <x:v>0.0332</x:v>
      </x:c>
      <x:c r="AB220" s="68" t="n">
        <x:v>5.793869680880869</x:v>
      </x:c>
      <x:c r="AC220" s="68" t="n">
        <x:v>0.5194</x:v>
      </x:c>
      <x:c r="AD220" s="60" t="str">
        <x:v>同行估值 81、现金流 78</x:v>
      </x:c>
      <x:c r="AE220" s="60" t="str">
        <x:v>稳健性 42、盈利能力 72</x:v>
      </x:c>
    </x:row>
    <x:row r="221" ht="39.599998474121094" hidden="0" customHeight="1">
      <x:c r="A221" s="60" t="str">
        <x:v>历史低估关注</x:v>
      </x:c>
      <x:c r="B221" s="66" t="str">
        <x:v>002170.SZ</x:v>
      </x:c>
      <x:c r="C221" s="60" t="str">
        <x:v>芭田股份</x:v>
      </x:c>
      <x:c r="D221" s="60" t="str">
        <x:v>化工</x:v>
      </x:c>
      <x:c r="E221" s="60" t="str">
        <x:v>农用化工</x:v>
      </x:c>
      <x:c r="F221" s="60" t="str">
        <x:v>复合肥</x:v>
      </x:c>
      <x:c r="G221" s="61" t="n">
        <x:v>2</x:v>
      </x:c>
      <x:c r="H221" s="67" t="n">
        <x:v>71.7667</x:v>
      </x:c>
      <x:c r="I221" s="68" t="n">
        <x:v>1</x:v>
      </x:c>
      <x:c r="J221" s="69" t="str">
        <x:v>历史偏低位</x:v>
      </x:c>
      <x:c r="K221" s="69" t="str">
        <x:v>完整</x:v>
      </x:c>
      <x:c r="L221" s="69" t="str">
        <x:v>2026-08-19</x:v>
      </x:c>
      <x:c r="M221" s="69" t="str">
        <x:v>2026-08-24</x:v>
      </x:c>
      <x:c r="N221" s="70" t="n">
        <x:v>11.26</x:v>
      </x:c>
      <x:c r="O221" s="70" t="n">
        <x:v>10.7718</x:v>
      </x:c>
      <x:c r="P221" s="68" t="n">
        <x:v>0.024900000000000002</x:v>
      </x:c>
      <x:c r="Q221" s="70" t="n">
        <x:v>2.6986</x:v>
      </x:c>
      <x:c r="R221" s="68" t="n">
        <x:v>0.5699000000000001</x:v>
      </x:c>
      <x:c r="S221" s="68" t="n">
        <x:v>0.064831</x:v>
      </x:c>
      <x:c r="T221" s="68" t="n">
        <x:v>0.042699999999999995</x:v>
      </x:c>
      <x:c r="U221" s="68" t="n">
        <x:v>0.2125</x:v>
      </x:c>
      <x:c r="V221" s="71" t="n">
        <x:v>107.91</x:v>
      </x:c>
      <x:c r="W221" s="71" t="n">
        <x:v>12.47818112</x:v>
      </x:c>
      <x:c r="X221" s="71" t="n">
        <x:v>2.24611008</x:v>
      </x:c>
      <x:c r="Y221" s="68" t="n">
        <x:v>0.2593</x:v>
      </x:c>
      <x:c r="Z221" s="68" t="n">
        <x:v>0.35619999999999996</x:v>
      </x:c>
      <x:c r="AA221" s="68" t="n">
        <x:v>0.1804</x:v>
      </x:c>
      <x:c r="AB221" s="68" t="n">
        <x:v>2.7420416367126585</x:v>
      </x:c>
      <x:c r="AC221" s="68" t="n">
        <x:v>0.3514</x:v>
      </x:c>
      <x:c r="AD221" s="60" t="str">
        <x:v>盈利能力 100、现金流 76</x:v>
      </x:c>
      <x:c r="AE221" s="60" t="str">
        <x:v>稳健性 37、成长稳定 64</x:v>
      </x:c>
    </x:row>
    <x:row r="222" ht="39.599998474121094" hidden="0" customHeight="1">
      <x:c r="A222" s="60" t="str">
        <x:v>历史低估关注</x:v>
      </x:c>
      <x:c r="B222" s="66" t="str">
        <x:v>600461.SH</x:v>
      </x:c>
      <x:c r="C222" s="60" t="str">
        <x:v>洪城环境</x:v>
      </x:c>
      <x:c r="D222" s="60" t="str">
        <x:v>公用事业</x:v>
      </x:c>
      <x:c r="E222" s="60" t="str">
        <x:v>水务</x:v>
      </x:c>
      <x:c r="F222" s="60" t="str">
        <x:v>水务</x:v>
      </x:c>
      <x:c r="G222" s="61" t="n">
        <x:v>2</x:v>
      </x:c>
      <x:c r="H222" s="67" t="n">
        <x:v>71.7116</x:v>
      </x:c>
      <x:c r="I222" s="68" t="n">
        <x:v>1</x:v>
      </x:c>
      <x:c r="J222" s="69" t="str">
        <x:v>历史偏低位</x:v>
      </x:c>
      <x:c r="K222" s="69" t="str">
        <x:v>完整</x:v>
      </x:c>
      <x:c r="L222" s="69" t="str">
        <x:v>2026-08-19</x:v>
      </x:c>
      <x:c r="M222" s="69" t="str">
        <x:v>2026-08-24</x:v>
      </x:c>
      <x:c r="N222" s="70" t="n">
        <x:v>8.91</x:v>
      </x:c>
      <x:c r="O222" s="70" t="n">
        <x:v>9.716</x:v>
      </x:c>
      <x:c r="P222" s="68" t="n">
        <x:v>0.38</x:v>
      </x:c>
      <x:c r="Q222" s="70" t="n">
        <x:v>1.1099</x:v>
      </x:c>
      <x:c r="R222" s="68" t="n">
        <x:v>0.016200000000000003</x:v>
      </x:c>
      <x:c r="S222" s="68" t="n">
        <x:v>0.052413</x:v>
      </x:c>
      <x:c r="T222" s="68" t="n">
        <x:v>0.3135</x:v>
      </x:c>
      <x:c r="U222" s="68" t="n">
        <x:v>0.2366</x:v>
      </x:c>
      <x:c r="V222" s="71" t="n">
        <x:v>114.42</x:v>
      </x:c>
      <x:c r="W222" s="71" t="n">
        <x:v>20.604864</x:v>
      </x:c>
      <x:c r="X222" s="71" t="n">
        <x:v>2.60509248</x:v>
      </x:c>
      <x:c r="Y222" s="68" t="n">
        <x:v>0.1244</x:v>
      </x:c>
      <x:c r="Z222" s="68" t="n">
        <x:v>0.34149999999999997</x:v>
      </x:c>
      <x:c r="AA222" s="68" t="n">
        <x:v>0.1718</x:v>
      </x:c>
      <x:c r="AB222" s="68" t="n">
        <x:v>3.5677760506989755</x:v>
      </x:c>
      <x:c r="AC222" s="68" t="n">
        <x:v>0.5543</x:v>
      </x:c>
      <x:c r="AD222" s="60" t="str">
        <x:v>同行估值 83、行业地位 78</x:v>
      </x:c>
      <x:c r="AE222" s="60" t="str">
        <x:v>成长稳定 59、现金流 65</x:v>
      </x:c>
    </x:row>
    <x:row r="223" ht="39.599998474121094" hidden="0" customHeight="1">
      <x:c r="A223" s="60" t="str">
        <x:v>历史低估关注</x:v>
      </x:c>
      <x:c r="B223" s="66" t="str">
        <x:v>002299.SZ</x:v>
      </x:c>
      <x:c r="C223" s="60" t="str">
        <x:v>圣农发展</x:v>
      </x:c>
      <x:c r="D223" s="60" t="str">
        <x:v>农林牧渔</x:v>
      </x:c>
      <x:c r="E223" s="60" t="str">
        <x:v>养殖业</x:v>
      </x:c>
      <x:c r="F223" s="60" t="str">
        <x:v>肉鸡养殖</x:v>
      </x:c>
      <x:c r="G223" s="61" t="n">
        <x:v>1</x:v>
      </x:c>
      <x:c r="H223" s="67" t="n">
        <x:v>71.6833</x:v>
      </x:c>
      <x:c r="I223" s="68" t="n">
        <x:v>1</x:v>
      </x:c>
      <x:c r="J223" s="69" t="str">
        <x:v>历史偏低位</x:v>
      </x:c>
      <x:c r="K223" s="69" t="str">
        <x:v>完整</x:v>
      </x:c>
      <x:c r="L223" s="69" t="str">
        <x:v>2026-08-19</x:v>
      </x:c>
      <x:c r="M223" s="69" t="str">
        <x:v>2026-08-24</x:v>
      </x:c>
      <x:c r="N223" s="70" t="n">
        <x:v>16.26</x:v>
      </x:c>
      <x:c r="O223" s="70" t="n">
        <x:v>13.6038</x:v>
      </x:c>
      <x:c r="P223" s="68" t="n">
        <x:v>0.0519</x:v>
      </x:c>
      <x:c r="Q223" s="70" t="n">
        <x:v>1.7613</x:v>
      </x:c>
      <x:c r="R223" s="68" t="n">
        <x:v>0.1818</x:v>
      </x:c>
      <x:c r="S223" s="68" t="n">
        <x:v>0.030750000000000003</x:v>
      </x:c>
      <x:c r="T223" s="68" t="n">
        <x:v>0.20010000000000003</x:v>
      </x:c>
      <x:c r="U223" s="68" t="n">
        <x:v>0.1446</x:v>
      </x:c>
      <x:c r="V223" s="71" t="n">
        <x:v>198.47</x:v>
      </x:c>
      <x:c r="W223" s="71" t="n">
        <x:v>53.88594176</x:v>
      </x:c>
      <x:c r="X223" s="71" t="n">
        <x:v>2.21139232</x:v>
      </x:c>
      <x:c r="Y223" s="68" t="n">
        <x:v>0.1259</x:v>
      </x:c>
      <x:c r="Z223" s="68" t="n">
        <x:v>0.1258</x:v>
      </x:c>
      <x:c r="AA223" s="68" t="n">
        <x:v>0.069</x:v>
      </x:c>
      <x:c r="AB223" s="68" t="n">
        <x:v>4.277346644669545</x:v>
      </x:c>
      <x:c r="AC223" s="68" t="n">
        <x:v>0.5166</x:v>
      </x:c>
      <x:c r="AD223" s="60" t="str">
        <x:v>行业地位 95、盈利能力 80</x:v>
      </x:c>
      <x:c r="AE223" s="60" t="str">
        <x:v>成长稳定 32、同行估值 65</x:v>
      </x:c>
    </x:row>
    <x:row r="224" ht="39.599998474121094" hidden="0" customHeight="1">
      <x:c r="A224" s="60" t="str">
        <x:v>历史低估关注</x:v>
      </x:c>
      <x:c r="B224" s="66" t="str">
        <x:v>300274.SZ</x:v>
      </x:c>
      <x:c r="C224" s="60" t="str">
        <x:v>阳光电源</x:v>
      </x:c>
      <x:c r="D224" s="60" t="str">
        <x:v>电力设备</x:v>
      </x:c>
      <x:c r="E224" s="60" t="str">
        <x:v>光伏设备</x:v>
      </x:c>
      <x:c r="F224" s="60" t="str">
        <x:v>光伏逆变器</x:v>
      </x:c>
      <x:c r="G224" s="61" t="n">
        <x:v>2</x:v>
      </x:c>
      <x:c r="H224" s="67" t="n">
        <x:v>71.525</x:v>
      </x:c>
      <x:c r="I224" s="68" t="n">
        <x:v>1</x:v>
      </x:c>
      <x:c r="J224" s="69" t="str">
        <x:v>历史偏低位</x:v>
      </x:c>
      <x:c r="K224" s="69" t="str">
        <x:v>完整</x:v>
      </x:c>
      <x:c r="L224" s="69" t="str">
        <x:v>2026-08-19</x:v>
      </x:c>
      <x:c r="M224" s="69" t="str">
        <x:v>2026-08-24</x:v>
      </x:c>
      <x:c r="N224" s="70" t="n">
        <x:v>111.49</x:v>
      </x:c>
      <x:c r="O224" s="70" t="n">
        <x:v>19.3807</x:v>
      </x:c>
      <x:c r="P224" s="68" t="n">
        <x:v>0.3975</x:v>
      </x:c>
      <x:c r="Q224" s="70" t="n">
        <x:v>4.7501</x:v>
      </x:c>
      <x:c r="R224" s="68" t="n">
        <x:v>0.1916</x:v>
      </x:c>
      <x:c r="S224" s="68" t="n">
        <x:v>0.01471</x:v>
      </x:c>
      <x:c r="T224" s="68" t="n">
        <x:v>0.11380000000000001</x:v>
      </x:c>
      <x:c r="U224" s="68" t="n">
        <x:v>0.2343</x:v>
      </x:c>
      <x:c r="V224" s="71" t="n">
        <x:v>2311.63</x:v>
      </x:c>
      <x:c r="W224" s="71" t="n">
        <x:v>227.82447616</x:v>
      </x:c>
      <x:c r="X224" s="71" t="n">
        <x:v>15.8005632</x:v>
      </x:c>
      <x:c r="Y224" s="68" t="n">
        <x:v>0.3126</x:v>
      </x:c>
      <x:c r="Z224" s="68" t="n">
        <x:v>0.31829999999999997</x:v>
      </x:c>
      <x:c r="AA224" s="68" t="n">
        <x:v>0.1517</x:v>
      </x:c>
      <x:c r="AB224" s="68" t="n">
        <x:v>4.432809281127397</x:v>
      </x:c>
      <x:c r="AC224" s="68" t="n">
        <x:v>0.5806</x:v>
      </x:c>
      <x:c r="AD224" s="60" t="str">
        <x:v>行业地位 100、盈利能力 80</x:v>
      </x:c>
      <x:c r="AE224" s="60" t="str">
        <x:v>稳健性 32、成长稳定 50</x:v>
      </x:c>
    </x:row>
    <x:row r="225" ht="39.599998474121094" hidden="0" customHeight="1">
      <x:c r="A225" s="60" t="str">
        <x:v>历史低估关注</x:v>
      </x:c>
      <x:c r="B225" s="66" t="str">
        <x:v>002683.SZ</x:v>
      </x:c>
      <x:c r="C225" s="60" t="str">
        <x:v>广东宏大</x:v>
      </x:c>
      <x:c r="D225" s="60" t="str">
        <x:v>化工</x:v>
      </x:c>
      <x:c r="E225" s="60" t="str">
        <x:v>化学制品</x:v>
      </x:c>
      <x:c r="F225" s="60" t="str">
        <x:v>民爆制品</x:v>
      </x:c>
      <x:c r="G225" s="61" t="n">
        <x:v>1</x:v>
      </x:c>
      <x:c r="H225" s="67" t="n">
        <x:v>71.3452</x:v>
      </x:c>
      <x:c r="I225" s="68" t="n">
        <x:v>1</x:v>
      </x:c>
      <x:c r="J225" s="69" t="str">
        <x:v>历史偏低位</x:v>
      </x:c>
      <x:c r="K225" s="69" t="str">
        <x:v>完整</x:v>
      </x:c>
      <x:c r="L225" s="69" t="str">
        <x:v>2026-08-19</x:v>
      </x:c>
      <x:c r="M225" s="69" t="str">
        <x:v>2026-08-24</x:v>
      </x:c>
      <x:c r="N225" s="70" t="n">
        <x:v>29.03</x:v>
      </x:c>
      <x:c r="O225" s="70" t="n">
        <x:v>22.8087</x:v>
      </x:c>
      <x:c r="P225" s="68" t="n">
        <x:v>0.1998</x:v>
      </x:c>
      <x:c r="Q225" s="70" t="n">
        <x:v>3.1393</x:v>
      </x:c>
      <x:c r="R225" s="68" t="n">
        <x:v>0.3233</x:v>
      </x:c>
      <x:c r="S225" s="68" t="n">
        <x:v>0.022391</x:v>
      </x:c>
      <x:c r="T225" s="68" t="n">
        <x:v>0.23850000000000002</x:v>
      </x:c>
      <x:c r="U225" s="68" t="n">
        <x:v>0.2539</x:v>
      </x:c>
      <x:c r="V225" s="71" t="n">
        <x:v>222.8</x:v>
      </x:c>
      <x:c r="W225" s="71" t="n">
        <x:v>58.17368064</x:v>
      </x:c>
      <x:c r="X225" s="71" t="n">
        <x:v>3.03795296</x:v>
      </x:c>
      <x:c r="Y225" s="68" t="n">
        <x:v>0.142</x:v>
      </x:c>
      <x:c r="Z225" s="68" t="n">
        <x:v>0.20879999999999999</x:v>
      </x:c>
      <x:c r="AA225" s="68" t="n">
        <x:v>0.08220000000000001</x:v>
      </x:c>
      <x:c r="AB225" s="68" t="n">
        <x:v>8.267294092664292</x:v>
      </x:c>
      <x:c r="AC225" s="68" t="n">
        <x:v>0.5544</x:v>
      </x:c>
      <x:c r="AD225" s="60" t="str">
        <x:v>行业地位 100、现金流 92</x:v>
      </x:c>
      <x:c r="AE225" s="60" t="str">
        <x:v>稳健性 44、盈利能力 45</x:v>
      </x:c>
    </x:row>
    <x:row r="226" ht="39.599998474121094" hidden="0" customHeight="1">
      <x:c r="A226" s="60" t="str">
        <x:v>历史低估关注</x:v>
      </x:c>
      <x:c r="B226" s="66" t="str">
        <x:v>301219.SZ</x:v>
      </x:c>
      <x:c r="C226" s="60" t="str">
        <x:v>腾远钴业</x:v>
      </x:c>
      <x:c r="D226" s="60" t="str">
        <x:v>有色</x:v>
      </x:c>
      <x:c r="E226" s="60" t="str">
        <x:v>能源金属</x:v>
      </x:c>
      <x:c r="F226" s="60" t="str">
        <x:v>钴</x:v>
      </x:c>
      <x:c r="G226" s="61" t="n">
        <x:v>2</x:v>
      </x:c>
      <x:c r="H226" s="67" t="n">
        <x:v>71.25</x:v>
      </x:c>
      <x:c r="I226" s="68" t="n">
        <x:v>1</x:v>
      </x:c>
      <x:c r="J226" s="69" t="str">
        <x:v>历史偏低位</x:v>
      </x:c>
      <x:c r="K226" s="69" t="str">
        <x:v>完整</x:v>
      </x:c>
      <x:c r="L226" s="69" t="str">
        <x:v>2026-08-19</x:v>
      </x:c>
      <x:c r="M226" s="69" t="str">
        <x:v>2026-08-24</x:v>
      </x:c>
      <x:c r="N226" s="70" t="n">
        <x:v>46.89</x:v>
      </x:c>
      <x:c r="O226" s="70" t="n">
        <x:v>11.8225</x:v>
      </x:c>
      <x:c r="P226" s="68" t="n">
        <x:v>0.0173</x:v>
      </x:c>
      <x:c r="Q226" s="70" t="n">
        <x:v>1.819</x:v>
      </x:c>
      <x:c r="R226" s="68" t="n">
        <x:v>0.5405</x:v>
      </x:c>
      <x:c r="S226" s="68" t="n">
        <x:v>0.042652999999999996</x:v>
      </x:c>
      <x:c r="T226" s="68" t="n">
        <x:v>0.2365</x:v>
      </x:c>
      <x:c r="U226" s="68" t="n">
        <x:v>0.2648</x:v>
      </x:c>
      <x:c r="V226" s="71" t="n">
        <x:v>176.94</x:v>
      </x:c>
      <x:c r="W226" s="71" t="n">
        <x:v>25.88085248</x:v>
      </x:c>
      <x:c r="X226" s="71" t="n">
        <x:v>3.59649696</x:v>
      </x:c>
      <x:c r="Y226" s="68" t="n">
        <x:v>0.1213</x:v>
      </x:c>
      <x:c r="Z226" s="68" t="n">
        <x:v>0.2773</x:v>
      </x:c>
      <x:c r="AA226" s="68" t="n">
        <x:v>0.1318</x:v>
      </x:c>
      <x:c r="AB226" s="68" t="n">
        <x:v>0.4682903888788495</x:v>
      </x:c>
      <x:c r="AC226" s="68" t="n">
        <x:v>0.2844</x:v>
      </x:c>
      <x:c r="AD226" s="60" t="str">
        <x:v>稳健性 90、现金流 87</x:v>
      </x:c>
      <x:c r="AE226" s="60" t="str">
        <x:v>行业地位 43、盈利能力 73</x:v>
      </x:c>
    </x:row>
    <x:row r="227" ht="39.599998474121094" hidden="0" customHeight="1">
      <x:c r="A227" s="60" t="str">
        <x:v>历史低估关注</x:v>
      </x:c>
      <x:c r="B227" s="66" t="str">
        <x:v>600018.SH</x:v>
      </x:c>
      <x:c r="C227" s="60" t="str">
        <x:v>上港集团</x:v>
      </x:c>
      <x:c r="D227" s="60" t="str">
        <x:v>交通运输</x:v>
      </x:c>
      <x:c r="E227" s="60" t="str">
        <x:v>航运港口</x:v>
      </x:c>
      <x:c r="F227" s="60" t="str">
        <x:v>港口</x:v>
      </x:c>
      <x:c r="G227" s="61" t="n">
        <x:v>1</x:v>
      </x:c>
      <x:c r="H227" s="67" t="n">
        <x:v>71.069</x:v>
      </x:c>
      <x:c r="I227" s="68" t="n">
        <x:v>1</x:v>
      </x:c>
      <x:c r="J227" s="69" t="str">
        <x:v>历史偏低位</x:v>
      </x:c>
      <x:c r="K227" s="69" t="str">
        <x:v>完整</x:v>
      </x:c>
      <x:c r="L227" s="69" t="str">
        <x:v>2026-08-19</x:v>
      </x:c>
      <x:c r="M227" s="69" t="str">
        <x:v>2026-08-24</x:v>
      </x:c>
      <x:c r="N227" s="70" t="n">
        <x:v>5.17</x:v>
      </x:c>
      <x:c r="O227" s="70" t="n">
        <x:v>8.8077</x:v>
      </x:c>
      <x:c r="P227" s="68" t="n">
        <x:v>0.445</x:v>
      </x:c>
      <x:c r="Q227" s="70" t="n">
        <x:v>0.8285</x:v>
      </x:c>
      <x:c r="R227" s="68" t="n">
        <x:v>0.06559999999999999</x:v>
      </x:c>
      <x:c r="S227" s="68" t="n">
        <x:v>0.037718</x:v>
      </x:c>
      <x:c r="T227" s="68" t="n">
        <x:v>0.2217</x:v>
      </x:c>
      <x:c r="U227" s="68" t="n">
        <x:v>0.2441</x:v>
      </x:c>
      <x:c r="V227" s="71" t="n">
        <x:v>1219.87</x:v>
      </x:c>
      <x:c r="W227" s="71" t="n">
        <x:v>96.6259712</x:v>
      </x:c>
      <x:c r="X227" s="71" t="n">
        <x:v>22.92054528</x:v>
      </x:c>
      <x:c r="Y227" s="68" t="n">
        <x:v>0.09880000000000001</x:v>
      </x:c>
      <x:c r="Z227" s="68" t="n">
        <x:v>0.36119999999999997</x:v>
      </x:c>
      <x:c r="AA227" s="68" t="n">
        <x:v>0.3775</x:v>
      </x:c>
      <x:c r="AB227" s="68" t="n">
        <x:v>0.8519624189324696</x:v>
      </x:c>
      <x:c r="AC227" s="68" t="n">
        <x:v>0.2968</x:v>
      </x:c>
      <x:c r="AD227" s="60" t="str">
        <x:v>行业地位 100、同行估值 85</x:v>
      </x:c>
      <x:c r="AE227" s="60" t="str">
        <x:v>现金流 31、成长稳定 42</x:v>
      </x:c>
    </x:row>
    <x:row r="228" ht="39.599998474121094" hidden="0" customHeight="1">
      <x:c r="A228" s="60" t="str">
        <x:v>历史低估关注</x:v>
      </x:c>
      <x:c r="B228" s="66" t="str">
        <x:v>688543.SH</x:v>
      </x:c>
      <x:c r="C228" s="60" t="str">
        <x:v>国科军工</x:v>
      </x:c>
      <x:c r="D228" s="60" t="str">
        <x:v>国防军工</x:v>
      </x:c>
      <x:c r="E228" s="60" t="str">
        <x:v>地面兵装</x:v>
      </x:c>
      <x:c r="F228" s="60" t="str">
        <x:v>地面兵装</x:v>
      </x:c>
      <x:c r="G228" s="61" t="n">
        <x:v>1</x:v>
      </x:c>
      <x:c r="H228" s="67" t="n">
        <x:v>70.6961</x:v>
      </x:c>
      <x:c r="I228" s="68" t="n">
        <x:v>0.85</x:v>
      </x:c>
      <x:c r="J228" s="69" t="str">
        <x:v>历史偏低位</x:v>
      </x:c>
      <x:c r="K228" s="69" t="str">
        <x:v>完整</x:v>
      </x:c>
      <x:c r="L228" s="69" t="str">
        <x:v>2026-08-19</x:v>
      </x:c>
      <x:c r="M228" s="69" t="str">
        <x:v>2026-08-24</x:v>
      </x:c>
      <x:c r="N228" s="70" t="n">
        <x:v>37.8</x:v>
      </x:c>
      <x:c r="O228" s="70" t="n">
        <x:v>39.8617</x:v>
      </x:c>
      <x:c r="P228" s="68" t="n">
        <x:v>0.051500000000000004</x:v>
      </x:c>
      <x:c r="Q228" s="70" t="n">
        <x:v>3.872</x:v>
      </x:c>
      <x:c r="R228" s="68" t="n">
        <x:v>0.40869999999999995</x:v>
      </x:c>
      <x:c r="S228" s="68" t="n">
        <x:v>0.023809999999999998</x:v>
      </x:c>
      <x:c r="T228" s="68" t="n">
        <x:v>0.0495</x:v>
      </x:c>
      <x:c r="U228" s="68" t="n">
        <x:v>0.1699</x:v>
      </x:c>
      <x:c r="V228" s="71" t="n">
        <x:v>95.71</x:v>
      </x:c>
      <x:c r="W228" s="71" t="n">
        <x:v>6.3492384</x:v>
      </x:c>
      <x:c r="X228" s="71" t="n">
        <x:v>1.0363396</x:v>
      </x:c>
      <x:c r="Y228" s="68" t="n">
        <x:v>0.1073</x:v>
      </x:c>
      <x:c r="Z228" s="68" t="n">
        <x:v>0.3378</x:v>
      </x:c>
      <x:c r="AA228" s="68" t="n">
        <x:v>0.1761</x:v>
      </x:c>
      <x:c r="AB228" s="68" t="n">
        <x:v>4.37572733879898</x:v>
      </x:c>
      <x:c r="AC228" s="68" t="n">
        <x:v>0.2672</x:v>
      </x:c>
      <x:c r="AD228" s="60" t="str">
        <x:v>盈利能力 90、同行估值 80</x:v>
      </x:c>
      <x:c r="AE228" s="60" t="str">
        <x:v>稳健性 47、现金流 61</x:v>
      </x:c>
    </x:row>
    <x:row r="229" ht="39.599998474121094" hidden="0" customHeight="1">
      <x:c r="A229" s="60" t="str">
        <x:v>历史低估关注</x:v>
      </x:c>
      <x:c r="B229" s="66" t="str">
        <x:v>605338.SH</x:v>
      </x:c>
      <x:c r="C229" s="60" t="str">
        <x:v>巴比食品</x:v>
      </x:c>
      <x:c r="D229" s="60" t="str">
        <x:v>食品饮料</x:v>
      </x:c>
      <x:c r="E229" s="60" t="str">
        <x:v>食品加工</x:v>
      </x:c>
      <x:c r="F229" s="60" t="str">
        <x:v>预加工食品</x:v>
      </x:c>
      <x:c r="G229" s="61" t="n">
        <x:v>2</x:v>
      </x:c>
      <x:c r="H229" s="67" t="n">
        <x:v>70.2</x:v>
      </x:c>
      <x:c r="I229" s="68" t="n">
        <x:v>1</x:v>
      </x:c>
      <x:c r="J229" s="69" t="str">
        <x:v>历史偏低位</x:v>
      </x:c>
      <x:c r="K229" s="69" t="str">
        <x:v>完整</x:v>
      </x:c>
      <x:c r="L229" s="69" t="str">
        <x:v>2026-08-19</x:v>
      </x:c>
      <x:c r="M229" s="69" t="str">
        <x:v>2026-08-24</x:v>
      </x:c>
      <x:c r="N229" s="70" t="n">
        <x:v>19.64</x:v>
      </x:c>
      <x:c r="O229" s="70" t="n">
        <x:v>16.6225</x:v>
      </x:c>
      <x:c r="P229" s="68" t="n">
        <x:v>0.1693</x:v>
      </x:c>
      <x:c r="Q229" s="70" t="n">
        <x:v>1.9731</x:v>
      </x:c>
      <x:c r="R229" s="68" t="n">
        <x:v>0.2306</x:v>
      </x:c>
      <x:c r="S229" s="68" t="n">
        <x:v>0.0611</x:v>
      </x:c>
      <x:c r="T229" s="68" t="n">
        <x:v>0.0358</x:v>
      </x:c>
      <x:c r="U229" s="68" t="n">
        <x:v>0.1452</x:v>
      </x:c>
      <x:c r="V229" s="71" t="n">
        <x:v>45.04</x:v>
      </x:c>
      <x:c r="W229" s="71" t="n">
        <x:v>5.02679648</x:v>
      </x:c>
      <x:c r="X229" s="71" t="n">
        <x:v>0.71821744</x:v>
      </x:c>
      <x:c r="Y229" s="68" t="n">
        <x:v>0.1197</x:v>
      </x:c>
      <x:c r="Z229" s="68" t="n">
        <x:v>0.2854</x:v>
      </x:c>
      <x:c r="AA229" s="68" t="n">
        <x:v>0.1459</x:v>
      </x:c>
      <x:c r="AB229" s="68" t="n">
        <x:v>1.6592024833036634</x:v>
      </x:c>
      <x:c r="AC229" s="68" t="n">
        <x:v>0.18530000000000002</x:v>
      </x:c>
      <x:c r="AD229" s="60" t="str">
        <x:v>同行估值 91、盈利能力 89</x:v>
      </x:c>
      <x:c r="AE229" s="60" t="str">
        <x:v>稳健性 51、现金流 57</x:v>
      </x:c>
    </x:row>
    <x:row r="230" ht="39.599998474121094" hidden="0" customHeight="1">
      <x:c r="A230" s="60" t="str">
        <x:v>历史低估关注</x:v>
      </x:c>
      <x:c r="B230" s="66" t="str">
        <x:v>601083.SH</x:v>
      </x:c>
      <x:c r="C230" s="60" t="str">
        <x:v>锦江航运</x:v>
      </x:c>
      <x:c r="D230" s="60" t="str">
        <x:v>交通运输</x:v>
      </x:c>
      <x:c r="E230" s="60" t="str">
        <x:v>航运港口</x:v>
      </x:c>
      <x:c r="F230" s="60" t="str">
        <x:v>航运</x:v>
      </x:c>
      <x:c r="G230" s="61" t="n">
        <x:v>1</x:v>
      </x:c>
      <x:c r="H230" s="67" t="n">
        <x:v>70.1795</x:v>
      </x:c>
      <x:c r="I230" s="68" t="n">
        <x:v>0.85</x:v>
      </x:c>
      <x:c r="J230" s="69" t="str">
        <x:v>历史偏低位</x:v>
      </x:c>
      <x:c r="K230" s="69" t="str">
        <x:v>部分可用</x:v>
      </x:c>
      <x:c r="L230" s="69" t="str">
        <x:v>2026-08-19</x:v>
      </x:c>
      <x:c r="M230" s="69" t="str">
        <x:v>2026-08-24</x:v>
      </x:c>
      <x:c r="N230" s="70" t="n">
        <x:v>11.48</x:v>
      </x:c>
      <x:c r="O230" s="70" t="n">
        <x:v>10.046</x:v>
      </x:c>
      <x:c r="P230" s="68" t="n">
        <x:v>0.1547</x:v>
      </x:c>
      <x:c r="Q230" s="70" t="n">
        <x:v>1.5344</x:v>
      </x:c>
      <x:c r="R230" s="68" t="n">
        <x:v>0.33</x:v>
      </x:c>
      <x:c r="S230" s="68" t="n">
        <x:v>0.070732</x:v>
      </x:c>
      <x:c r="T230" s="68" t="n">
        <x:v>0.0725</x:v>
      </x:c>
      <x:c r="U230" s="68" t="n">
        <x:v>0.1857</x:v>
      </x:c>
      <x:c r="V230" s="71" t="n">
        <x:v>169.66</x:v>
      </x:c>
      <x:c r="W230" s="71" t="n">
        <x:v>18.34735232</x:v>
      </x:c>
      <x:c r="X230" s="71" t="n">
        <x:v>3.15646048</x:v>
      </x:c>
      <x:c r="Y230" s="68" t="n">
        <x:v>0.1663</x:v>
      </x:c>
      <x:c r="Z230" s="68" t="n">
        <x:v>0.3182</x:v>
      </x:c>
      <x:c r="AA230" s="68" t="n">
        <x:v>0.2157</x:v>
      </x:c>
      <x:c r="AB230" s="68" t="n">
        <x:v>2.400244973128889</x:v>
      </x:c>
      <x:c r="AC230" s="68" t="n">
        <x:v>0.2069</x:v>
      </x:c>
      <x:c r="AD230" s="60" t="str">
        <x:v>盈利能力 94、同行估值 81</x:v>
      </x:c>
      <x:c r="AE230" s="60" t="str">
        <x:v>稳健性 54、现金流 56</x:v>
      </x:c>
    </x:row>
    <x:row r="231" ht="39.599998474121094" hidden="0" customHeight="1">
      <x:c r="A231" s="60" t="str">
        <x:v>历史低估关注</x:v>
      </x:c>
      <x:c r="B231" s="66" t="str">
        <x:v>603733.SH</x:v>
      </x:c>
      <x:c r="C231" s="60" t="str">
        <x:v>仙鹤股份</x:v>
      </x:c>
      <x:c r="D231" s="60" t="str">
        <x:v>轻工制造</x:v>
      </x:c>
      <x:c r="E231" s="60" t="str">
        <x:v>造纸</x:v>
      </x:c>
      <x:c r="F231" s="60" t="str">
        <x:v>特种纸</x:v>
      </x:c>
      <x:c r="G231" s="61" t="n">
        <x:v>1</x:v>
      </x:c>
      <x:c r="H231" s="67" t="n">
        <x:v>69.9334</x:v>
      </x:c>
      <x:c r="I231" s="68" t="n">
        <x:v>1</x:v>
      </x:c>
      <x:c r="J231" s="69" t="str">
        <x:v>历史偏低位</x:v>
      </x:c>
      <x:c r="K231" s="69" t="str">
        <x:v>完整</x:v>
      </x:c>
      <x:c r="L231" s="69" t="str">
        <x:v>2026-08-19</x:v>
      </x:c>
      <x:c r="M231" s="69" t="str">
        <x:v>2026-08-24</x:v>
      </x:c>
      <x:c r="N231" s="70" t="n">
        <x:v>21.71</x:v>
      </x:c>
      <x:c r="O231" s="70" t="n">
        <x:v>17.2718</x:v>
      </x:c>
      <x:c r="P231" s="68" t="n">
        <x:v>0.37979999999999997</x:v>
      </x:c>
      <x:c r="Q231" s="70" t="n">
        <x:v>1.9737</x:v>
      </x:c>
      <x:c r="R231" s="68" t="n">
        <x:v>0.4592</x:v>
      </x:c>
      <x:c r="S231" s="68" t="n">
        <x:v>0.032243</x:v>
      </x:c>
      <x:c r="T231" s="68" t="n">
        <x:v>0.025699999999999997</x:v>
      </x:c>
      <x:c r="U231" s="68" t="n">
        <x:v>0.2882</x:v>
      </x:c>
      <x:c r="V231" s="71" t="n">
        <x:v>172.77</x:v>
      </x:c>
      <x:c r="W231" s="71" t="n">
        <x:v>32.80220416</x:v>
      </x:c>
      <x:c r="X231" s="71" t="n">
        <x:v>2.34606192</x:v>
      </x:c>
      <x:c r="Y231" s="68" t="n">
        <x:v>0.121</x:v>
      </x:c>
      <x:c r="Z231" s="68" t="n">
        <x:v>0.1371</x:v>
      </x:c>
      <x:c r="AA231" s="68" t="n">
        <x:v>0.0825</x:v>
      </x:c>
      <x:c r="AB231" s="68" t="n">
        <x:v>-0.5515001922881899</x:v>
      </x:c>
      <x:c r="AC231" s="68" t="n">
        <x:v>0.6457999999999999</x:v>
      </x:c>
      <x:c r="AD231" s="60" t="str">
        <x:v>行业地位 100、成长稳定 77</x:v>
      </x:c>
      <x:c r="AE231" s="60" t="str">
        <x:v>稳健性 19、现金流 42</x:v>
      </x:c>
    </x:row>
    <x:row r="232" ht="39.599998474121094" hidden="0" customHeight="1">
      <x:c r="A232" s="60" t="str">
        <x:v>历史低估关注</x:v>
      </x:c>
      <x:c r="B232" s="66" t="str">
        <x:v>300864.SZ</x:v>
      </x:c>
      <x:c r="C232" s="60" t="str">
        <x:v>南大环境</x:v>
      </x:c>
      <x:c r="D232" s="60" t="str">
        <x:v>环保</x:v>
      </x:c>
      <x:c r="E232" s="60" t="str">
        <x:v>环境监测</x:v>
      </x:c>
      <x:c r="F232" s="60" t="str">
        <x:v>环境监测</x:v>
      </x:c>
      <x:c r="G232" s="61" t="n">
        <x:v>2</x:v>
      </x:c>
      <x:c r="H232" s="67" t="n">
        <x:v>69.875</x:v>
      </x:c>
      <x:c r="I232" s="68" t="n">
        <x:v>1</x:v>
      </x:c>
      <x:c r="J232" s="69" t="str">
        <x:v>历史偏低位</x:v>
      </x:c>
      <x:c r="K232" s="69" t="str">
        <x:v>完整</x:v>
      </x:c>
      <x:c r="L232" s="69" t="str">
        <x:v>2026-08-19</x:v>
      </x:c>
      <x:c r="M232" s="69" t="str">
        <x:v>2026-08-24</x:v>
      </x:c>
      <x:c r="N232" s="70" t="n">
        <x:v>19.69</x:v>
      </x:c>
      <x:c r="O232" s="70" t="n">
        <x:v>20.5446</x:v>
      </x:c>
      <x:c r="P232" s="68" t="n">
        <x:v>0.3166</x:v>
      </x:c>
      <x:c r="Q232" s="70" t="n">
        <x:v>2.236</x:v>
      </x:c>
      <x:c r="R232" s="68" t="n">
        <x:v>0.049400000000000006</x:v>
      </x:c>
      <x:c r="S232" s="68" t="n">
        <x:v>0.043169000000000006</x:v>
      </x:c>
      <x:c r="T232" s="68" t="n">
        <x:v>0.1012</x:v>
      </x:c>
      <x:c r="U232" s="68" t="n">
        <x:v>0.1557</x:v>
      </x:c>
      <x:c r="V232" s="71" t="n">
        <x:v>40.87</x:v>
      </x:c>
      <x:c r="W232" s="71" t="n">
        <x:v>2.33849024</x:v>
      </x:c>
      <x:c r="X232" s="71" t="n">
        <x:v>0.32600648</x:v>
      </x:c>
      <x:c r="Y232" s="68" t="n">
        <x:v>0.11460000000000001</x:v>
      </x:c>
      <x:c r="Z232" s="68" t="n">
        <x:v>0.3619</x:v>
      </x:c>
      <x:c r="AA232" s="68" t="n">
        <x:v>0.19469999999999998</x:v>
      </x:c>
      <x:c r="AB232" s="68" t="n">
        <x:v>4.90755594796766</x:v>
      </x:c>
      <x:c r="AC232" s="68" t="n">
        <x:v>0.2968</x:v>
      </x:c>
      <x:c r="AD232" s="60" t="str">
        <x:v>成长稳定 95、盈利能力 85</x:v>
      </x:c>
      <x:c r="AE232" s="60" t="str">
        <x:v>行业地位 50、现金流 55</x:v>
      </x:c>
    </x:row>
    <x:row r="233" ht="39.599998474121094" hidden="0" customHeight="1">
      <x:c r="A233" s="60" t="str">
        <x:v>历史低估关注</x:v>
      </x:c>
      <x:c r="B233" s="66" t="str">
        <x:v>002223.SZ</x:v>
      </x:c>
      <x:c r="C233" s="60" t="str">
        <x:v>鱼跃医疗</x:v>
      </x:c>
      <x:c r="D233" s="60" t="str">
        <x:v>医药医疗</x:v>
      </x:c>
      <x:c r="E233" s="60" t="str">
        <x:v>医疗器械</x:v>
      </x:c>
      <x:c r="F233" s="60" t="str">
        <x:v>家用器械</x:v>
      </x:c>
      <x:c r="G233" s="61" t="n">
        <x:v>1</x:v>
      </x:c>
      <x:c r="H233" s="67" t="n">
        <x:v>69.65</x:v>
      </x:c>
      <x:c r="I233" s="68" t="n">
        <x:v>1</x:v>
      </x:c>
      <x:c r="J233" s="69" t="str">
        <x:v>历史偏低位</x:v>
      </x:c>
      <x:c r="K233" s="69" t="str">
        <x:v>完整</x:v>
      </x:c>
      <x:c r="L233" s="69" t="str">
        <x:v>2026-08-19</x:v>
      </x:c>
      <x:c r="M233" s="69" t="str">
        <x:v>2026-08-24</x:v>
      </x:c>
      <x:c r="N233" s="70" t="n">
        <x:v>25.88</x:v>
      </x:c>
      <x:c r="O233" s="70" t="n">
        <x:v>20.1842</x:v>
      </x:c>
      <x:c r="P233" s="68" t="n">
        <x:v>0.5494</x:v>
      </x:c>
      <x:c r="Q233" s="70" t="n">
        <x:v>1.9007</x:v>
      </x:c>
      <x:c r="R233" s="68" t="n">
        <x:v>0.0118</x:v>
      </x:c>
      <x:c r="S233" s="68" t="n">
        <x:v>0.03864</x:v>
      </x:c>
      <x:c r="T233" s="68" t="n">
        <x:v>0.0144</x:v>
      </x:c>
      <x:c r="U233" s="68" t="n">
        <x:v>0.19190000000000002</x:v>
      </x:c>
      <x:c r="V233" s="71" t="n">
        <x:v>260.54</x:v>
      </x:c>
      <x:c r="W233" s="71" t="n">
        <x:v>14.10126848</x:v>
      </x:c>
      <x:c r="X233" s="71" t="n">
        <x:v>0.15751328</x:v>
      </x:c>
      <x:c r="Y233" s="68" t="n">
        <x:v>0.1142</x:v>
      </x:c>
      <x:c r="Z233" s="68" t="n">
        <x:v>0.506</x:v>
      </x:c>
      <x:c r="AA233" s="68" t="n">
        <x:v>0.1866</x:v>
      </x:c>
      <x:c r="AB233" s="68" t="n">
        <x:v>-0.036755992256652895</x:v>
      </x:c>
      <x:c r="AC233" s="68" t="n">
        <x:v>0.1697</x:v>
      </x:c>
      <x:c r="AD233" s="60" t="str">
        <x:v>稳健性 88、同行估值 86</x:v>
      </x:c>
      <x:c r="AE233" s="60" t="str">
        <x:v>现金流 35、成长稳定 52</x:v>
      </x:c>
    </x:row>
    <x:row r="234" ht="39.599998474121094" hidden="0" customHeight="1">
      <x:c r="A234" s="60" t="str">
        <x:v>历史低估关注</x:v>
      </x:c>
      <x:c r="B234" s="66" t="str">
        <x:v>601186.SH</x:v>
      </x:c>
      <x:c r="C234" s="60" t="str">
        <x:v>中国铁建</x:v>
      </x:c>
      <x:c r="D234" s="60" t="str">
        <x:v>建筑</x:v>
      </x:c>
      <x:c r="E234" s="60" t="str">
        <x:v>基础建设</x:v>
      </x:c>
      <x:c r="F234" s="60" t="str">
        <x:v>基建工程</x:v>
      </x:c>
      <x:c r="G234" s="61" t="n">
        <x:v>2</x:v>
      </x:c>
      <x:c r="H234" s="67" t="n">
        <x:v>69.4515</x:v>
      </x:c>
      <x:c r="I234" s="68" t="n">
        <x:v>1</x:v>
      </x:c>
      <x:c r="J234" s="69" t="str">
        <x:v>历史偏低位</x:v>
      </x:c>
      <x:c r="K234" s="69" t="str">
        <x:v>完整</x:v>
      </x:c>
      <x:c r="L234" s="69" t="str">
        <x:v>2026-08-19</x:v>
      </x:c>
      <x:c r="M234" s="69" t="str">
        <x:v>2026-08-24</x:v>
      </x:c>
      <x:c r="N234" s="70" t="n">
        <x:v>5.97</x:v>
      </x:c>
      <x:c r="O234" s="70" t="n">
        <x:v>4.6051</x:v>
      </x:c>
      <x:c r="P234" s="68" t="n">
        <x:v>0.5424</x:v>
      </x:c>
      <x:c r="Q234" s="70" t="n">
        <x:v>0.2319</x:v>
      </x:c>
      <x:c r="R234" s="68" t="n">
        <x:v>0.0059</x:v>
      </x:c>
      <x:c r="S234" s="68" t="n">
        <x:v>0.050251000000000004</x:v>
      </x:c>
      <x:c r="T234" s="68" t="n">
        <x:v>0.0202</x:v>
      </x:c>
      <x:c r="U234" s="68" t="n">
        <x:v>0.1895</x:v>
      </x:c>
      <x:c r="V234" s="71" t="n">
        <x:v>818.85</x:v>
      </x:c>
      <x:c r="W234" s="71" t="n">
        <x:v>3013.812224</x:v>
      </x:c>
      <x:c r="X234" s="71" t="n">
        <x:v>35.51352064</x:v>
      </x:c>
      <x:c r="Y234" s="68" t="n">
        <x:v>0.0591</x:v>
      </x:c>
      <x:c r="Z234" s="68" t="n">
        <x:v>0.09720000000000001</x:v>
      </x:c>
      <x:c r="AA234" s="68" t="n">
        <x:v>0.021099999999999997</x:v>
      </x:c>
      <x:c r="AB234" s="68" t="n">
        <x:v>23.29073505228233</x:v>
      </x:c>
      <x:c r="AC234" s="68" t="n">
        <x:v>0.7951</x:v>
      </x:c>
      <x:c r="AD234" s="60" t="str">
        <x:v>同行估值 96、行业地位 92</x:v>
      </x:c>
      <x:c r="AE234" s="60" t="str">
        <x:v>盈利能力 40、成长稳定 44</x:v>
      </x:c>
    </x:row>
    <x:row r="235" ht="39.599998474121094" hidden="0" customHeight="1">
      <x:c r="A235" s="60" t="str">
        <x:v>历史低估关注</x:v>
      </x:c>
      <x:c r="B235" s="66" t="str">
        <x:v>301283.SZ</x:v>
      </x:c>
      <x:c r="C235" s="60" t="str">
        <x:v>聚胶股份</x:v>
      </x:c>
      <x:c r="D235" s="60" t="str">
        <x:v>化工</x:v>
      </x:c>
      <x:c r="E235" s="60" t="str">
        <x:v>化学制品</x:v>
      </x:c>
      <x:c r="F235" s="60" t="str">
        <x:v>胶黏剂及胶带</x:v>
      </x:c>
      <x:c r="G235" s="61" t="n">
        <x:v>2</x:v>
      </x:c>
      <x:c r="H235" s="67" t="n">
        <x:v>69.4118</x:v>
      </x:c>
      <x:c r="I235" s="68" t="n">
        <x:v>0.85</x:v>
      </x:c>
      <x:c r="J235" s="69" t="str">
        <x:v>历史偏低位</x:v>
      </x:c>
      <x:c r="K235" s="69" t="str">
        <x:v>完整</x:v>
      </x:c>
      <x:c r="L235" s="69" t="str">
        <x:v>2026-08-19</x:v>
      </x:c>
      <x:c r="M235" s="69" t="str">
        <x:v>2026-08-24</x:v>
      </x:c>
      <x:c r="N235" s="70" t="n">
        <x:v>25.6</x:v>
      </x:c>
      <x:c r="O235" s="70" t="n">
        <x:v>15.2246</x:v>
      </x:c>
      <x:c r="P235" s="68" t="n">
        <x:v>0.0579</x:v>
      </x:c>
      <x:c r="Q235" s="70" t="n">
        <x:v>1.7349</x:v>
      </x:c>
      <x:c r="R235" s="68" t="n">
        <x:v>0.3884</x:v>
      </x:c>
      <x:c r="S235" s="68" t="n">
        <x:v>0.066406</x:v>
      </x:c>
      <x:c r="T235" s="68" t="n">
        <x:v>0.0453</x:v>
      </x:c>
      <x:c r="U235" s="68" t="n">
        <x:v>0.16390000000000002</x:v>
      </x:c>
      <x:c r="V235" s="71" t="n">
        <x:v>29.45</x:v>
      </x:c>
      <x:c r="W235" s="71" t="n">
        <x:v>6.13211392</x:v>
      </x:c>
      <x:c r="X235" s="71" t="n">
        <x:v>0.49373364</x:v>
      </x:c>
      <x:c r="Y235" s="68" t="n">
        <x:v>0.1193</x:v>
      </x:c>
      <x:c r="Z235" s="68" t="n">
        <x:v>0.20379999999999998</x:v>
      </x:c>
      <x:c r="AA235" s="68" t="n">
        <x:v>0.08900000000000001</x:v>
      </x:c>
      <x:c r="AB235" s="68" t="n">
        <x:v>1.1464276163155502</x:v>
      </x:c>
      <x:c r="AC235" s="68" t="n">
        <x:v>0.3532</x:v>
      </x:c>
      <x:c r="AD235" s="60" t="str">
        <x:v>同行估值 92、盈利能力 85</x:v>
      </x:c>
      <x:c r="AE235" s="60" t="str">
        <x:v>现金流 50、行业地位 50</x:v>
      </x:c>
    </x:row>
    <x:row r="236" ht="39.599998474121094" hidden="0" customHeight="1">
      <x:c r="A236" s="60" t="str">
        <x:v>历史低估关注</x:v>
      </x:c>
      <x:c r="B236" s="66" t="str">
        <x:v>603338.SH</x:v>
      </x:c>
      <x:c r="C236" s="60" t="str">
        <x:v>浙江鼎力</x:v>
      </x:c>
      <x:c r="D236" s="60" t="str">
        <x:v>机械设备</x:v>
      </x:c>
      <x:c r="E236" s="60" t="str">
        <x:v>工程机械</x:v>
      </x:c>
      <x:c r="F236" s="60" t="str">
        <x:v>工程机械整机</x:v>
      </x:c>
      <x:c r="G236" s="61" t="n">
        <x:v>1</x:v>
      </x:c>
      <x:c r="H236" s="67" t="n">
        <x:v>69.1702</x:v>
      </x:c>
      <x:c r="I236" s="68" t="n">
        <x:v>1</x:v>
      </x:c>
      <x:c r="J236" s="69" t="str">
        <x:v>历史偏低位</x:v>
      </x:c>
      <x:c r="K236" s="69" t="str">
        <x:v>完整</x:v>
      </x:c>
      <x:c r="L236" s="69" t="str">
        <x:v>2026-08-19</x:v>
      </x:c>
      <x:c r="M236" s="69" t="str">
        <x:v>2026-08-24</x:v>
      </x:c>
      <x:c r="N236" s="70" t="n">
        <x:v>55.35</x:v>
      </x:c>
      <x:c r="O236" s="70" t="n">
        <x:v>14.5707</x:v>
      </x:c>
      <x:c r="P236" s="68" t="n">
        <x:v>0.2235</x:v>
      </x:c>
      <x:c r="Q236" s="70" t="n">
        <x:v>2.3663</x:v>
      </x:c>
      <x:c r="R236" s="68" t="n">
        <x:v>0.1143</x:v>
      </x:c>
      <x:c r="S236" s="68" t="n">
        <x:v>0.020777</x:v>
      </x:c>
      <x:c r="T236" s="68" t="n">
        <x:v>0.0892</x:v>
      </x:c>
      <x:c r="U236" s="68" t="n">
        <x:v>0.1423</x:v>
      </x:c>
      <x:c r="V236" s="71" t="n">
        <x:v>276.77</x:v>
      </x:c>
      <x:c r="W236" s="71" t="n">
        <x:v>19.00698368</x:v>
      </x:c>
      <x:c r="X236" s="71" t="n">
        <x:v>3.04662496</x:v>
      </x:c>
      <x:c r="Y236" s="68" t="n">
        <x:v>0.1778</x:v>
      </x:c>
      <x:c r="Z236" s="68" t="n">
        <x:v>0.34259999999999996</x:v>
      </x:c>
      <x:c r="AA236" s="68" t="n">
        <x:v>0.22149999999999997</x:v>
      </x:c>
      <x:c r="AB236" s="68" t="n">
        <x:v>3.5820296043264874</x:v>
      </x:c>
      <x:c r="AC236" s="68" t="n">
        <x:v>0.34259999999999996</x:v>
      </x:c>
      <x:c r="AD236" s="60" t="str">
        <x:v>成长稳定 87、盈利能力 83</x:v>
      </x:c>
      <x:c r="AE236" s="60" t="str">
        <x:v>同行估值 53、稳健性 57</x:v>
      </x:c>
    </x:row>
    <x:row r="237" ht="39.599998474121094" hidden="0" customHeight="1">
      <x:c r="A237" s="60" t="str">
        <x:v>历史低估关注</x:v>
      </x:c>
      <x:c r="B237" s="66" t="str">
        <x:v>300913.SZ</x:v>
      </x:c>
      <x:c r="C237" s="60" t="str">
        <x:v>兆龙互连</x:v>
      </x:c>
      <x:c r="D237" s="60" t="str">
        <x:v>通信</x:v>
      </x:c>
      <x:c r="E237" s="60" t="str">
        <x:v>通信设备</x:v>
      </x:c>
      <x:c r="F237" s="60" t="str">
        <x:v>光纤光缆</x:v>
      </x:c>
      <x:c r="G237" s="61" t="n">
        <x:v>1</x:v>
      </x:c>
      <x:c r="H237" s="67" t="n">
        <x:v>68.9714</x:v>
      </x:c>
      <x:c r="I237" s="68" t="n">
        <x:v>1</x:v>
      </x:c>
      <x:c r="J237" s="69" t="str">
        <x:v>历史偏低位</x:v>
      </x:c>
      <x:c r="K237" s="69" t="str">
        <x:v>完整</x:v>
      </x:c>
      <x:c r="L237" s="69" t="str">
        <x:v>2026-08-19</x:v>
      </x:c>
      <x:c r="M237" s="69" t="str">
        <x:v>2026-08-24</x:v>
      </x:c>
      <x:c r="N237" s="70" t="n">
        <x:v>34.02</x:v>
      </x:c>
      <x:c r="O237" s="70" t="n">
        <x:v>47.1512</x:v>
      </x:c>
      <x:c r="P237" s="68" t="n">
        <x:v>0.3386</x:v>
      </x:c>
      <x:c r="Q237" s="70" t="n">
        <x:v>4.4024</x:v>
      </x:c>
      <x:c r="R237" s="68" t="n">
        <x:v>0.30269999999999997</x:v>
      </x:c>
      <x:c r="S237" s="68" t="n">
        <x:v>0.004703</x:v>
      </x:c>
      <x:c r="T237" s="68" t="n">
        <x:v>0.2418</x:v>
      </x:c>
      <x:c r="U237" s="68" t="n">
        <x:v>0.2944</x:v>
      </x:c>
      <x:c r="V237" s="71" t="n">
        <x:v>119.63</x:v>
      </x:c>
      <x:c r="W237" s="71" t="n">
        <x:v>6.05877248</x:v>
      </x:c>
      <x:c r="X237" s="71" t="n">
        <x:v>0.93150992</x:v>
      </x:c>
      <x:c r="Y237" s="68" t="n">
        <x:v>0.1754</x:v>
      </x:c>
      <x:c r="Z237" s="68" t="n">
        <x:v>0.22089999999999999</x:v>
      </x:c>
      <x:c r="AA237" s="68" t="n">
        <x:v>0.10890000000000001</x:v>
      </x:c>
      <x:c r="AB237" s="68" t="n">
        <x:v>0.9390052657732297</x:v>
      </x:c>
      <x:c r="AC237" s="68" t="n">
        <x:v>0.1264</x:v>
      </x:c>
      <x:c r="AD237" s="60" t="str">
        <x:v>盈利能力 91、稳健性 91</x:v>
      </x:c>
      <x:c r="AE237" s="60" t="str">
        <x:v>现金流 39、行业地位 45</x:v>
      </x:c>
    </x:row>
    <x:row r="238" ht="39.599998474121094" hidden="0" customHeight="1">
      <x:c r="A238" s="60" t="str">
        <x:v>历史低估关注</x:v>
      </x:c>
      <x:c r="B238" s="66" t="str">
        <x:v>000600.SZ</x:v>
      </x:c>
      <x:c r="C238" s="60" t="str">
        <x:v>建投能源</x:v>
      </x:c>
      <x:c r="D238" s="60" t="str">
        <x:v>公用事业</x:v>
      </x:c>
      <x:c r="E238" s="60" t="str">
        <x:v>电力</x:v>
      </x:c>
      <x:c r="F238" s="60" t="str">
        <x:v>火力发电</x:v>
      </x:c>
      <x:c r="G238" s="61" t="n">
        <x:v>1</x:v>
      </x:c>
      <x:c r="H238" s="67" t="n">
        <x:v>68.9664</x:v>
      </x:c>
      <x:c r="I238" s="68" t="n">
        <x:v>1</x:v>
      </x:c>
      <x:c r="J238" s="69" t="str">
        <x:v>历史偏低位</x:v>
      </x:c>
      <x:c r="K238" s="69" t="str">
        <x:v>完整</x:v>
      </x:c>
      <x:c r="L238" s="69" t="str">
        <x:v>2026-08-19</x:v>
      </x:c>
      <x:c r="M238" s="69" t="str">
        <x:v>2026-08-24</x:v>
      </x:c>
      <x:c r="N238" s="70" t="n">
        <x:v>7.9</x:v>
      </x:c>
      <x:c r="O238" s="70" t="n">
        <x:v>7.003</x:v>
      </x:c>
      <x:c r="P238" s="68" t="n">
        <x:v>0.0051</x:v>
      </x:c>
      <x:c r="Q238" s="70" t="n">
        <x:v>1.0569</x:v>
      </x:c>
      <x:c r="R238" s="68" t="n">
        <x:v>0.5719</x:v>
      </x:c>
      <x:c r="S238" s="68" t="n">
        <x:v>0.040506</x:v>
      </x:c>
      <x:c r="T238" s="68" t="n">
        <x:v>0.0429</x:v>
      </x:c>
      <x:c r="U238" s="68" t="n">
        <x:v>0.2066</x:v>
      </x:c>
      <x:c r="V238" s="71" t="n">
        <x:v>142.82</x:v>
      </x:c>
      <x:c r="W238" s="71" t="n">
        <x:v>63.03314944</x:v>
      </x:c>
      <x:c r="X238" s="71" t="n">
        <x:v>2.95304672</x:v>
      </x:c>
      <x:c r="Y238" s="68" t="n">
        <x:v>0.16579999999999998</x:v>
      </x:c>
      <x:c r="Z238" s="68" t="n">
        <x:v>0.26649999999999996</x:v>
      </x:c>
      <x:c r="AA238" s="68" t="n">
        <x:v>0.127</x:v>
      </x:c>
      <x:c r="AB238" s="68" t="n">
        <x:v>5.910949515895231</x:v>
      </x:c>
      <x:c r="AC238" s="68" t="n">
        <x:v>0.5918</x:v>
      </x:c>
      <x:c r="AD238" s="60" t="str">
        <x:v>盈利能力 90、现金流 77</x:v>
      </x:c>
      <x:c r="AE238" s="60" t="str">
        <x:v>稳健性 50、行业地位 51</x:v>
      </x:c>
    </x:row>
    <x:row r="239" ht="39.599998474121094" hidden="0" customHeight="1">
      <x:c r="A239" s="60" t="str">
        <x:v>历史低估关注</x:v>
      </x:c>
      <x:c r="B239" s="66" t="str">
        <x:v>002867.SZ</x:v>
      </x:c>
      <x:c r="C239" s="60" t="str">
        <x:v>周大生</x:v>
      </x:c>
      <x:c r="D239" s="60" t="str">
        <x:v>纺织服饰</x:v>
      </x:c>
      <x:c r="E239" s="60" t="str">
        <x:v>饰品</x:v>
      </x:c>
      <x:c r="F239" s="60" t="str">
        <x:v>钟表珠宝</x:v>
      </x:c>
      <x:c r="G239" s="61" t="n">
        <x:v>2</x:v>
      </x:c>
      <x:c r="H239" s="67" t="n">
        <x:v>68.6546</x:v>
      </x:c>
      <x:c r="I239" s="68" t="n">
        <x:v>1</x:v>
      </x:c>
      <x:c r="J239" s="69" t="str">
        <x:v>历史偏低位</x:v>
      </x:c>
      <x:c r="K239" s="69" t="str">
        <x:v>完整</x:v>
      </x:c>
      <x:c r="L239" s="69" t="str">
        <x:v>2026-08-19</x:v>
      </x:c>
      <x:c r="M239" s="69" t="str">
        <x:v>2026-08-24</x:v>
      </x:c>
      <x:c r="N239" s="70" t="n">
        <x:v>12.38</x:v>
      </x:c>
      <x:c r="O239" s="70" t="n">
        <x:v>11.7413</x:v>
      </x:c>
      <x:c r="P239" s="68" t="n">
        <x:v>0.1998</x:v>
      </x:c>
      <x:c r="Q239" s="70" t="n">
        <x:v>1.9835</x:v>
      </x:c>
      <x:c r="R239" s="68" t="n">
        <x:v>0.07150000000000001</x:v>
      </x:c>
      <x:c r="S239" s="68" t="n">
        <x:v>0.072698</x:v>
      </x:c>
      <x:c r="T239" s="68" t="n">
        <x:v>0.203</x:v>
      </x:c>
      <x:c r="U239" s="68" t="n">
        <x:v>0.15810000000000002</x:v>
      </x:c>
      <x:c r="V239" s="71" t="n">
        <x:v>133.3</x:v>
      </x:c>
      <x:c r="W239" s="71" t="n">
        <x:v>20.43067136</x:v>
      </x:c>
      <x:c r="X239" s="71" t="n">
        <x:v>2.21683776</x:v>
      </x:c>
      <x:c r="Y239" s="68" t="n">
        <x:v>0.1716</x:v>
      </x:c>
      <x:c r="Z239" s="68" t="n">
        <x:v>0.3135</x:v>
      </x:c>
      <x:c r="AA239" s="68" t="n">
        <x:v>0.125</x:v>
      </x:c>
      <x:c r="AB239" s="68" t="n">
        <x:v>-0.5252451491984691</x:v>
      </x:c>
      <x:c r="AC239" s="68" t="n">
        <x:v>0.2208</x:v>
      </x:c>
      <x:c r="AD239" s="60" t="str">
        <x:v>盈利能力 85、行业地位 76</x:v>
      </x:c>
      <x:c r="AE239" s="60" t="str">
        <x:v>成长稳定 47、现金流 55</x:v>
      </x:c>
    </x:row>
    <x:row r="240" ht="39.599998474121094" hidden="0" customHeight="1">
      <x:c r="A240" s="60" t="str">
        <x:v>历史低估关注</x:v>
      </x:c>
      <x:c r="B240" s="66" t="str">
        <x:v>301031.SZ</x:v>
      </x:c>
      <x:c r="C240" s="60" t="str">
        <x:v>中熔电气</x:v>
      </x:c>
      <x:c r="D240" s="60" t="str">
        <x:v>电力设备</x:v>
      </x:c>
      <x:c r="E240" s="60" t="str">
        <x:v>电网设备</x:v>
      </x:c>
      <x:c r="F240" s="60" t="str">
        <x:v>配电设备</x:v>
      </x:c>
      <x:c r="G240" s="61" t="n">
        <x:v>2</x:v>
      </x:c>
      <x:c r="H240" s="67" t="n">
        <x:v>68.5216</x:v>
      </x:c>
      <x:c r="I240" s="68" t="n">
        <x:v>1</x:v>
      </x:c>
      <x:c r="J240" s="69" t="str">
        <x:v>历史偏低位</x:v>
      </x:c>
      <x:c r="K240" s="69" t="str">
        <x:v>完整</x:v>
      </x:c>
      <x:c r="L240" s="69" t="str">
        <x:v>2026-08-19</x:v>
      </x:c>
      <x:c r="M240" s="69" t="str">
        <x:v>2026-08-24</x:v>
      </x:c>
      <x:c r="N240" s="70" t="n">
        <x:v>88.47</x:v>
      </x:c>
      <x:c r="O240" s="70" t="n">
        <x:v>28.2199</x:v>
      </x:c>
      <x:c r="P240" s="68" t="n">
        <x:v>0.0151</x:v>
      </x:c>
      <x:c r="Q240" s="70" t="n">
        <x:v>7.906</x:v>
      </x:c>
      <x:c r="R240" s="68" t="n">
        <x:v>0.3738</x:v>
      </x:c>
      <x:c r="S240" s="68" t="n">
        <x:v>0.0058779999999999995</x:v>
      </x:c>
      <x:c r="T240" s="68" t="n">
        <x:v>0.42200000000000004</x:v>
      </x:c>
      <x:c r="U240" s="68" t="n">
        <x:v>0.2703</x:v>
      </x:c>
      <x:c r="V240" s="71" t="n">
        <x:v>133.42</x:v>
      </x:c>
      <x:c r="W240" s="71" t="n">
        <x:v>7.38499008</x:v>
      </x:c>
      <x:c r="X240" s="71" t="n">
        <x:v>1.62992048</x:v>
      </x:c>
      <x:c r="Y240" s="68" t="n">
        <x:v>0.29710000000000003</x:v>
      </x:c>
      <x:c r="Z240" s="68" t="n">
        <x:v>0.4058</x:v>
      </x:c>
      <x:c r="AA240" s="68" t="n">
        <x:v>0.18510000000000001</x:v>
      </x:c>
      <x:c r="AB240" s="68" t="n">
        <x:v>0.9474790573832166</x:v>
      </x:c>
      <x:c r="AC240" s="68" t="n">
        <x:v>0.4918</x:v>
      </x:c>
      <x:c r="AD240" s="60" t="str">
        <x:v>盈利能力 96、行业地位 88</x:v>
      </x:c>
      <x:c r="AE240" s="60" t="str">
        <x:v>稳健性 12、同行估值 37</x:v>
      </x:c>
    </x:row>
    <x:row r="241" ht="39.599998474121094" hidden="0" customHeight="1">
      <x:c r="A241" s="60" t="str">
        <x:v>历史低估关注</x:v>
      </x:c>
      <x:c r="B241" s="66" t="str">
        <x:v>300206.SZ</x:v>
      </x:c>
      <x:c r="C241" s="60" t="str">
        <x:v>理邦仪器</x:v>
      </x:c>
      <x:c r="D241" s="60" t="str">
        <x:v>医药医疗</x:v>
      </x:c>
      <x:c r="E241" s="60" t="str">
        <x:v>医疗器械</x:v>
      </x:c>
      <x:c r="F241" s="60" t="str">
        <x:v>医疗设备</x:v>
      </x:c>
      <x:c r="G241" s="61" t="n">
        <x:v>2</x:v>
      </x:c>
      <x:c r="H241" s="67" t="n">
        <x:v>68.4754</x:v>
      </x:c>
      <x:c r="I241" s="68" t="n">
        <x:v>1</x:v>
      </x:c>
      <x:c r="J241" s="69" t="str">
        <x:v>历史偏低位</x:v>
      </x:c>
      <x:c r="K241" s="69" t="str">
        <x:v>完整</x:v>
      </x:c>
      <x:c r="L241" s="69" t="str">
        <x:v>2026-08-19</x:v>
      </x:c>
      <x:c r="M241" s="69" t="str">
        <x:v>2026-08-24</x:v>
      </x:c>
      <x:c r="N241" s="70" t="n">
        <x:v>11.78</x:v>
      </x:c>
      <x:c r="O241" s="70" t="n">
        <x:v>19.7583</x:v>
      </x:c>
      <x:c r="P241" s="68" t="n">
        <x:v>0.0805</x:v>
      </x:c>
      <x:c r="Q241" s="70" t="n">
        <x:v>2.9732</x:v>
      </x:c>
      <x:c r="R241" s="68" t="n">
        <x:v>0.1548</x:v>
      </x:c>
      <x:c r="S241" s="68" t="n">
        <x:v>0.026400999999999997</x:v>
      </x:c>
      <x:c r="T241" s="68" t="n">
        <x:v>0.1721</x:v>
      </x:c>
      <x:c r="U241" s="68" t="n">
        <x:v>0.1358</x:v>
      </x:c>
      <x:c r="V241" s="71" t="n">
        <x:v>69.15</x:v>
      </x:c>
      <x:c r="W241" s="71" t="n">
        <x:v>5.52775552</x:v>
      </x:c>
      <x:c r="X241" s="71" t="n">
        <x:v>0.49012324</x:v>
      </x:c>
      <x:c r="Y241" s="68" t="n">
        <x:v>0.1469</x:v>
      </x:c>
      <x:c r="Z241" s="68" t="n">
        <x:v>0.5835</x:v>
      </x:c>
      <x:c r="AA241" s="68" t="n">
        <x:v>0.15410000000000001</x:v>
      </x:c>
      <x:c r="AB241" s="68" t="n">
        <x:v>3.4773197043257937</x:v>
      </x:c>
      <x:c r="AC241" s="68" t="n">
        <x:v>0.17010000000000003</x:v>
      </x:c>
      <x:c r="AD241" s="60" t="str">
        <x:v>同行估值 79、盈利能力 74</x:v>
      </x:c>
      <x:c r="AE241" s="60" t="str">
        <x:v>稳健性 55、成长稳定 62</x:v>
      </x:c>
    </x:row>
    <x:row r="242" ht="39.599998474121094" hidden="0" customHeight="1">
      <x:c r="A242" s="60" t="str">
        <x:v>历史低估关注</x:v>
      </x:c>
      <x:c r="B242" s="66" t="str">
        <x:v>600356.SH</x:v>
      </x:c>
      <x:c r="C242" s="60" t="str">
        <x:v>恒丰纸业</x:v>
      </x:c>
      <x:c r="D242" s="60" t="str">
        <x:v>轻工制造</x:v>
      </x:c>
      <x:c r="E242" s="60" t="str">
        <x:v>造纸</x:v>
      </x:c>
      <x:c r="F242" s="60" t="str">
        <x:v>特种纸</x:v>
      </x:c>
      <x:c r="G242" s="61" t="n">
        <x:v>2</x:v>
      </x:c>
      <x:c r="H242" s="67" t="n">
        <x:v>68.3167</x:v>
      </x:c>
      <x:c r="I242" s="68" t="n">
        <x:v>1</x:v>
      </x:c>
      <x:c r="J242" s="69" t="str">
        <x:v>历史偏低位</x:v>
      </x:c>
      <x:c r="K242" s="69" t="str">
        <x:v>完整</x:v>
      </x:c>
      <x:c r="L242" s="69" t="str">
        <x:v>2026-08-19</x:v>
      </x:c>
      <x:c r="M242" s="69" t="str">
        <x:v>2026-08-24</x:v>
      </x:c>
      <x:c r="N242" s="70" t="n">
        <x:v>8.75</x:v>
      </x:c>
      <x:c r="O242" s="70" t="n">
        <x:v>12.7252</x:v>
      </x:c>
      <x:c r="P242" s="68" t="n">
        <x:v>0.036000000000000004</x:v>
      </x:c>
      <x:c r="Q242" s="70" t="n">
        <x:v>0.9354</x:v>
      </x:c>
      <x:c r="R242" s="68" t="n">
        <x:v>0.46880000000000005</x:v>
      </x:c>
      <x:c r="S242" s="68" t="n">
        <x:v>0.021714</x:v>
      </x:c>
      <x:c r="T242" s="68" t="n">
        <x:v>0.1139</x:v>
      </x:c>
      <x:c r="U242" s="68" t="n">
        <x:v>0.20620000000000002</x:v>
      </x:c>
      <x:c r="V242" s="71" t="n">
        <x:v>29.03</x:v>
      </x:c>
      <x:c r="W242" s="71" t="n">
        <x:v>7.8356928</x:v>
      </x:c>
      <x:c r="X242" s="71" t="n">
        <x:v>0.49441284</x:v>
      </x:c>
      <x:c r="Y242" s="68" t="n">
        <x:v>0.07440000000000001</x:v>
      </x:c>
      <x:c r="Z242" s="68" t="n">
        <x:v>0.1948</x:v>
      </x:c>
      <x:c r="AA242" s="68" t="n">
        <x:v>0.07519999999999999</x:v>
      </x:c>
      <x:c r="AB242" s="68" t="n">
        <x:v>2.2706973386856215</x:v>
      </x:c>
      <x:c r="AC242" s="68" t="n">
        <x:v>0.2621</x:v>
      </x:c>
      <x:c r="AD242" s="60" t="str">
        <x:v>同行估值 92、成长稳定 86</x:v>
      </x:c>
      <x:c r="AE242" s="60" t="str">
        <x:v>行业地位 50、现金流 54</x:v>
      </x:c>
    </x:row>
    <x:row r="243" ht="39.599998474121094" hidden="0" customHeight="1">
      <x:c r="A243" s="60" t="str">
        <x:v>历史低估关注</x:v>
      </x:c>
      <x:c r="B243" s="66" t="str">
        <x:v>600642.SH</x:v>
      </x:c>
      <x:c r="C243" s="60" t="str">
        <x:v>申能股份</x:v>
      </x:c>
      <x:c r="D243" s="60" t="str">
        <x:v>公用事业</x:v>
      </x:c>
      <x:c r="E243" s="60" t="str">
        <x:v>电力</x:v>
      </x:c>
      <x:c r="F243" s="60" t="str">
        <x:v>火力发电</x:v>
      </x:c>
      <x:c r="G243" s="61" t="n">
        <x:v>2</x:v>
      </x:c>
      <x:c r="H243" s="67" t="n">
        <x:v>68.1447</x:v>
      </x:c>
      <x:c r="I243" s="68" t="n">
        <x:v>1</x:v>
      </x:c>
      <x:c r="J243" s="69" t="str">
        <x:v>历史偏低位</x:v>
      </x:c>
      <x:c r="K243" s="69" t="str">
        <x:v>完整</x:v>
      </x:c>
      <x:c r="L243" s="69" t="str">
        <x:v>2026-08-19</x:v>
      </x:c>
      <x:c r="M243" s="69" t="str">
        <x:v>2026-08-24</x:v>
      </x:c>
      <x:c r="N243" s="70" t="n">
        <x:v>8.39</x:v>
      </x:c>
      <x:c r="O243" s="70" t="n">
        <x:v>10.8326</x:v>
      </x:c>
      <x:c r="P243" s="68" t="n">
        <x:v>0.3429</x:v>
      </x:c>
      <x:c r="Q243" s="70" t="n">
        <x:v>0.966</x:v>
      </x:c>
      <x:c r="R243" s="68" t="n">
        <x:v>0.3068</x:v>
      </x:c>
      <x:c r="S243" s="68" t="n">
        <x:v>0.054827</x:v>
      </x:c>
      <x:c r="T243" s="68" t="n">
        <x:v>0.0913</x:v>
      </x:c>
      <x:c r="U243" s="68" t="n">
        <x:v>0.247</x:v>
      </x:c>
      <x:c r="V243" s="71" t="n">
        <x:v>415.51</x:v>
      </x:c>
      <x:c r="W243" s="71" t="n">
        <x:v>70.97443328</x:v>
      </x:c>
      <x:c r="X243" s="71" t="n">
        <x:v>6.9871648</x:v>
      </x:c>
      <x:c r="Y243" s="68" t="n">
        <x:v>0.1079</x:v>
      </x:c>
      <x:c r="Z243" s="68" t="n">
        <x:v>0.2256</x:v>
      </x:c>
      <x:c r="AA243" s="68" t="n">
        <x:v>0.17989999999999998</x:v>
      </x:c>
      <x:c r="AB243" s="68" t="n">
        <x:v>1.970421284467199</x:v>
      </x:c>
      <x:c r="AC243" s="68" t="n">
        <x:v>0.5477000000000001</x:v>
      </x:c>
      <x:c r="AD243" s="60" t="str">
        <x:v>盈利能力 77、行业地位 77</x:v>
      </x:c>
      <x:c r="AE243" s="60" t="str">
        <x:v>现金流 51、稳健性 61</x:v>
      </x:c>
    </x:row>
    <x:row r="244" ht="39.599998474121094" hidden="0" customHeight="1">
      <x:c r="A244" s="60" t="str">
        <x:v>历史低估关注</x:v>
      </x:c>
      <x:c r="B244" s="66" t="str">
        <x:v>601890.SH</x:v>
      </x:c>
      <x:c r="C244" s="60" t="str">
        <x:v>亚星锚链</x:v>
      </x:c>
      <x:c r="D244" s="60" t="str">
        <x:v>国防军工</x:v>
      </x:c>
      <x:c r="E244" s="60" t="str">
        <x:v>航海装备</x:v>
      </x:c>
      <x:c r="F244" s="60" t="str">
        <x:v>航海装备</x:v>
      </x:c>
      <x:c r="G244" s="61" t="n">
        <x:v>2</x:v>
      </x:c>
      <x:c r="H244" s="67" t="n">
        <x:v>68.0107</x:v>
      </x:c>
      <x:c r="I244" s="68" t="n">
        <x:v>1</x:v>
      </x:c>
      <x:c r="J244" s="69" t="str">
        <x:v>历史偏低位</x:v>
      </x:c>
      <x:c r="K244" s="69" t="str">
        <x:v>完整</x:v>
      </x:c>
      <x:c r="L244" s="69" t="str">
        <x:v>2026-08-19</x:v>
      </x:c>
      <x:c r="M244" s="69" t="str">
        <x:v>2026-08-24</x:v>
      </x:c>
      <x:c r="N244" s="70" t="n">
        <x:v>8.37</x:v>
      </x:c>
      <x:c r="O244" s="70" t="n">
        <x:v>22.988</x:v>
      </x:c>
      <x:c r="P244" s="68" t="n">
        <x:v>0.0141</x:v>
      </x:c>
      <x:c r="Q244" s="70" t="n">
        <x:v>2.0625</x:v>
      </x:c>
      <x:c r="R244" s="68" t="n">
        <x:v>0.161</x:v>
      </x:c>
      <x:c r="S244" s="68" t="n">
        <x:v>0.011947000000000001</x:v>
      </x:c>
      <x:c r="T244" s="68" t="n">
        <x:v>0.31329999999999997</x:v>
      </x:c>
      <x:c r="U244" s="68" t="n">
        <x:v>0.1628</x:v>
      </x:c>
      <x:c r="V244" s="71" t="n">
        <x:v>80.97</x:v>
      </x:c>
      <x:c r="W244" s="71" t="n">
        <x:v>5.55666496</x:v>
      </x:c>
      <x:c r="X244" s="71" t="n">
        <x:v>1.06137648</x:v>
      </x:c>
      <x:c r="Y244" s="68" t="n">
        <x:v>0.0852</x:v>
      </x:c>
      <x:c r="Z244" s="68" t="n">
        <x:v>0.31629999999999997</x:v>
      </x:c>
      <x:c r="AA244" s="68" t="n">
        <x:v>0.1561</x:v>
      </x:c>
      <x:c r="AB244" s="68" t="n">
        <x:v>2.1787824806519174</x:v>
      </x:c>
      <x:c r="AC244" s="68" t="n">
        <x:v>0.3251</x:v>
      </x:c>
      <x:c r="AD244" s="60" t="str">
        <x:v>盈利能力 92、同行估值 82</x:v>
      </x:c>
      <x:c r="AE244" s="60" t="str">
        <x:v>行业地位 45、稳健性 58</x:v>
      </x:c>
    </x:row>
    <x:row r="245" ht="39.599998474121094" hidden="0" customHeight="1">
      <x:c r="A245" s="60" t="str">
        <x:v>历史低估关注</x:v>
      </x:c>
      <x:c r="B245" s="66" t="str">
        <x:v>301538.SZ</x:v>
      </x:c>
      <x:c r="C245" s="60" t="str">
        <x:v>骏鼎达</x:v>
      </x:c>
      <x:c r="D245" s="60" t="str">
        <x:v>化工</x:v>
      </x:c>
      <x:c r="E245" s="60" t="str">
        <x:v>塑料</x:v>
      </x:c>
      <x:c r="F245" s="60" t="str">
        <x:v>改性塑料</x:v>
      </x:c>
      <x:c r="G245" s="61" t="n">
        <x:v>2</x:v>
      </x:c>
      <x:c r="H245" s="67" t="n">
        <x:v>67.9752</x:v>
      </x:c>
      <x:c r="I245" s="68" t="n">
        <x:v>0.85</x:v>
      </x:c>
      <x:c r="J245" s="69" t="str">
        <x:v>历史偏低位</x:v>
      </x:c>
      <x:c r="K245" s="69" t="str">
        <x:v>部分可用</x:v>
      </x:c>
      <x:c r="L245" s="69" t="str">
        <x:v>2026-08-19</x:v>
      </x:c>
      <x:c r="M245" s="69" t="str">
        <x:v>2026-08-24</x:v>
      </x:c>
      <x:c r="N245" s="70" t="n">
        <x:v>38.01</x:v>
      </x:c>
      <x:c r="O245" s="70" t="n">
        <x:v>22.7046</x:v>
      </x:c>
      <x:c r="P245" s="68" t="n">
        <x:v>0.0928</x:v>
      </x:c>
      <x:c r="Q245" s="70" t="n">
        <x:v>2.8363</x:v>
      </x:c>
      <x:c r="R245" s="68" t="n">
        <x:v>0.0264</x:v>
      </x:c>
      <x:c r="S245" s="68" t="n">
        <x:v>0.007893</x:v>
      </x:c>
      <x:c r="T245" s="68" t="n">
        <x:v>0.6376</x:v>
      </x:c>
      <x:c r="U245" s="68" t="n">
        <x:v>0.2523</x:v>
      </x:c>
      <x:c r="V245" s="71" t="n">
        <x:v>41</x:v>
      </x:c>
      <x:c r="W245" s="71" t="n">
        <x:v>2.98329568</x:v>
      </x:c>
      <x:c r="X245" s="71" t="n">
        <x:v>0.57892216</x:v>
      </x:c>
      <x:c r="Y245" s="68" t="n">
        <x:v>0.1448</x:v>
      </x:c>
      <x:c r="Z245" s="68" t="n">
        <x:v>0.4031</x:v>
      </x:c>
      <x:c r="AA245" s="68" t="n">
        <x:v>0.1902</x:v>
      </x:c>
      <x:c r="AB245" s="68" t="n">
        <x:v>0.7969175683307752</x:v>
      </x:c>
      <x:c r="AC245" s="68" t="n">
        <x:v>0.1495</x:v>
      </x:c>
      <x:c r="AD245" s="60" t="str">
        <x:v>盈利能力 98、稳健性 71</x:v>
      </x:c>
      <x:c r="AE245" s="60" t="str">
        <x:v>现金流 50、行业地位 56</x:v>
      </x:c>
    </x:row>
    <x:row r="246" ht="39.599998474121094" hidden="0" customHeight="1">
      <x:c r="A246" s="60" t="str">
        <x:v>历史低估关注</x:v>
      </x:c>
      <x:c r="B246" s="66" t="str">
        <x:v>688389.SH</x:v>
      </x:c>
      <x:c r="C246" s="60" t="str">
        <x:v>普门科技</x:v>
      </x:c>
      <x:c r="D246" s="60" t="str">
        <x:v>医药医疗</x:v>
      </x:c>
      <x:c r="E246" s="60" t="str">
        <x:v>医疗器械</x:v>
      </x:c>
      <x:c r="F246" s="60" t="str">
        <x:v>体外诊断</x:v>
      </x:c>
      <x:c r="G246" s="61" t="n">
        <x:v>1</x:v>
      </x:c>
      <x:c r="H246" s="67" t="n">
        <x:v>67.875</x:v>
      </x:c>
      <x:c r="I246" s="68" t="n">
        <x:v>1</x:v>
      </x:c>
      <x:c r="J246" s="69" t="str">
        <x:v>历史偏低位</x:v>
      </x:c>
      <x:c r="K246" s="69" t="str">
        <x:v>完整</x:v>
      </x:c>
      <x:c r="L246" s="69" t="str">
        <x:v>2026-08-19</x:v>
      </x:c>
      <x:c r="M246" s="69" t="str">
        <x:v>2026-08-24</x:v>
      </x:c>
      <x:c r="N246" s="70" t="n">
        <x:v>10.97</x:v>
      </x:c>
      <x:c r="O246" s="70" t="n">
        <x:v>28.8338</x:v>
      </x:c>
      <x:c r="P246" s="68" t="n">
        <x:v>0.4753</x:v>
      </x:c>
      <x:c r="Q246" s="70" t="n">
        <x:v>2.1865</x:v>
      </x:c>
      <x:c r="R246" s="68" t="n">
        <x:v>0.029900000000000003</x:v>
      </x:c>
      <x:c r="S246" s="68" t="n">
        <x:v>0.025706000000000003</x:v>
      </x:c>
      <x:c r="T246" s="68" t="n">
        <x:v>0.04650000000000001</x:v>
      </x:c>
      <x:c r="U246" s="68" t="n">
        <x:v>0.1839</x:v>
      </x:c>
      <x:c r="V246" s="71" t="n">
        <x:v>46.28</x:v>
      </x:c>
      <x:c r="W246" s="71" t="n">
        <x:v>2.74968352</x:v>
      </x:c>
      <x:c r="X246" s="71" t="n">
        <x:v>0.21180304</x:v>
      </x:c>
      <x:c r="Y246" s="68" t="n">
        <x:v>0.0888</x:v>
      </x:c>
      <x:c r="Z246" s="68" t="n">
        <x:v>0.6321</x:v>
      </x:c>
      <x:c r="AA246" s="68" t="n">
        <x:v>0.1723</x:v>
      </x:c>
      <x:c r="AB246" s="68" t="n">
        <x:v>5.244046355519732</x:v>
      </x:c>
      <x:c r="AC246" s="68" t="n">
        <x:v>0.2494</x:v>
      </x:c>
      <x:c r="AD246" s="60" t="str">
        <x:v>同行估值 92、成长稳定 85</x:v>
      </x:c>
      <x:c r="AE246" s="60" t="str">
        <x:v>稳健性 30、现金流 54</x:v>
      </x:c>
    </x:row>
    <x:row r="247" ht="39.599998474121094" hidden="0" customHeight="1">
      <x:c r="A247" s="60" t="str">
        <x:v>历史低估关注</x:v>
      </x:c>
      <x:c r="B247" s="66" t="str">
        <x:v>002006.SZ</x:v>
      </x:c>
      <x:c r="C247" s="60" t="str">
        <x:v>精工科技</x:v>
      </x:c>
      <x:c r="D247" s="60" t="str">
        <x:v>机械设备</x:v>
      </x:c>
      <x:c r="E247" s="60" t="str">
        <x:v>专用设备</x:v>
      </x:c>
      <x:c r="F247" s="60" t="str">
        <x:v>纺织服装设备</x:v>
      </x:c>
      <x:c r="G247" s="61" t="n">
        <x:v>2</x:v>
      </x:c>
      <x:c r="H247" s="67" t="n">
        <x:v>67.8611</x:v>
      </x:c>
      <x:c r="I247" s="68" t="n">
        <x:v>1</x:v>
      </x:c>
      <x:c r="J247" s="69" t="str">
        <x:v>历史偏低位</x:v>
      </x:c>
      <x:c r="K247" s="69" t="str">
        <x:v>完整</x:v>
      </x:c>
      <x:c r="L247" s="69" t="str">
        <x:v>2026-08-19</x:v>
      </x:c>
      <x:c r="M247" s="69" t="str">
        <x:v>2026-08-24</x:v>
      </x:c>
      <x:c r="N247" s="70" t="n">
        <x:v>13.07</x:v>
      </x:c>
      <x:c r="O247" s="70" t="n">
        <x:v>35.3998</x:v>
      </x:c>
      <x:c r="P247" s="68" t="n">
        <x:v>0.2994</x:v>
      </x:c>
      <x:c r="Q247" s="70" t="n">
        <x:v>2.7168</x:v>
      </x:c>
      <x:c r="R247" s="68" t="n">
        <x:v>0.0053</x:v>
      </x:c>
      <x:c r="S247" s="68" t="n">
        <x:v>0.015302</x:v>
      </x:c>
      <x:c r="T247" s="68" t="n">
        <x:v>0.057699999999999994</x:v>
      </x:c>
      <x:c r="U247" s="68" t="n">
        <x:v>0.1208</x:v>
      </x:c>
      <x:c r="V247" s="71" t="n">
        <x:v>66.83</x:v>
      </x:c>
      <x:c r="W247" s="71" t="n">
        <x:v>3.49842688</x:v>
      </x:c>
      <x:c r="X247" s="71" t="n">
        <x:v>0.40760556</x:v>
      </x:c>
      <x:c r="Y247" s="68" t="n">
        <x:v>0.0779</x:v>
      </x:c>
      <x:c r="Z247" s="68" t="n">
        <x:v>0.3259</x:v>
      </x:c>
      <x:c r="AA247" s="68" t="n">
        <x:v>0.10949999999999999</x:v>
      </x:c>
      <x:c r="AB247" s="68" t="n">
        <x:v>5.138012347034716</x:v>
      </x:c>
      <x:c r="AC247" s="68" t="n">
        <x:v>0.49439999999999995</x:v>
      </x:c>
      <x:c r="AD247" s="60" t="str">
        <x:v>盈利能力 89、同行估值 77</x:v>
      </x:c>
      <x:c r="AE247" s="60" t="str">
        <x:v>成长稳定 47、稳健性 50</x:v>
      </x:c>
    </x:row>
    <x:row r="248" ht="52.79999923706055" hidden="0" customHeight="1">
      <x:c r="A248" s="60" t="str">
        <x:v>历史低估关注</x:v>
      </x:c>
      <x:c r="B248" s="66" t="str">
        <x:v>002159.SZ</x:v>
      </x:c>
      <x:c r="C248" s="60" t="str">
        <x:v>三特索道</x:v>
      </x:c>
      <x:c r="D248" s="60" t="str">
        <x:v>社会服务</x:v>
      </x:c>
      <x:c r="E248" s="60" t="str">
        <x:v>旅游</x:v>
      </x:c>
      <x:c r="F248" s="60" t="str">
        <x:v>旅游服务</x:v>
      </x:c>
      <x:c r="G248" s="61" t="n">
        <x:v>2</x:v>
      </x:c>
      <x:c r="H248" s="67" t="n">
        <x:v>67.8333</x:v>
      </x:c>
      <x:c r="I248" s="68" t="n">
        <x:v>1</x:v>
      </x:c>
      <x:c r="J248" s="69" t="str">
        <x:v>历史偏低位</x:v>
      </x:c>
      <x:c r="K248" s="69" t="str">
        <x:v>完整</x:v>
      </x:c>
      <x:c r="L248" s="69" t="str">
        <x:v>2026-08-19</x:v>
      </x:c>
      <x:c r="M248" s="69" t="str">
        <x:v>2026-08-24</x:v>
      </x:c>
      <x:c r="N248" s="70" t="n">
        <x:v>13.19</x:v>
      </x:c>
      <x:c r="O248" s="70" t="n">
        <x:v>17.471</x:v>
      </x:c>
      <x:c r="P248" s="68" t="n">
        <x:v>0.16519999999999999</x:v>
      </x:c>
      <x:c r="Q248" s="70" t="n">
        <x:v>1.5799</x:v>
      </x:c>
      <x:c r="R248" s="68" t="n">
        <x:v>0.20550000000000002</x:v>
      </x:c>
      <x:c r="S248" s="68" t="n">
        <x:v>0.021227999999999997</x:v>
      </x:c>
      <x:c r="T248" s="68" t="n">
        <x:v>0.0832</x:v>
      </x:c>
      <x:c r="U248" s="68" t="n">
        <x:v>0.15130000000000002</x:v>
      </x:c>
      <x:c r="V248" s="71" t="n">
        <x:v>23.46</x:v>
      </x:c>
      <x:c r="W248" s="71" t="n">
        <x:v>1.35191408</x:v>
      </x:c>
      <x:c r="X248" s="71" t="n">
        <x:v>0.051210735</x:v>
      </x:c>
      <x:c r="Y248" s="68" t="n">
        <x:v>0.1017</x:v>
      </x:c>
      <x:c r="Z248" s="68" t="n">
        <x:v>0.6235</x:v>
      </x:c>
      <x:c r="AA248" s="68" t="n">
        <x:v>0.2412</x:v>
      </x:c>
      <x:c r="AB248" s="68" t="n">
        <x:v>6.7982043218087</x:v>
      </x:c>
      <x:c r="AC248" s="68" t="n">
        <x:v>0.2002</x:v>
      </x:c>
      <x:c r="AD248" s="60" t="str">
        <x:v>同行估值 100、盈利能力 100</x:v>
      </x:c>
      <x:c r="AE248" s="60" t="str">
        <x:v>行业地位 25、成长稳定 33</x:v>
      </x:c>
    </x:row>
    <x:row r="249" ht="39.599998474121094" hidden="0" customHeight="1">
      <x:c r="A249" s="60" t="str">
        <x:v>历史低估关注</x:v>
      </x:c>
      <x:c r="B249" s="66" t="str">
        <x:v>002206.SZ</x:v>
      </x:c>
      <x:c r="C249" s="60" t="str">
        <x:v>海 利 得</x:v>
      </x:c>
      <x:c r="D249" s="60" t="str">
        <x:v>化工</x:v>
      </x:c>
      <x:c r="E249" s="60" t="str">
        <x:v>化纤</x:v>
      </x:c>
      <x:c r="F249" s="60" t="str">
        <x:v>涤纶</x:v>
      </x:c>
      <x:c r="G249" s="61" t="n">
        <x:v>1</x:v>
      </x:c>
      <x:c r="H249" s="67" t="n">
        <x:v>67.289</x:v>
      </x:c>
      <x:c r="I249" s="68" t="n">
        <x:v>1</x:v>
      </x:c>
      <x:c r="J249" s="69" t="str">
        <x:v>历史偏低位</x:v>
      </x:c>
      <x:c r="K249" s="69" t="str">
        <x:v>完整</x:v>
      </x:c>
      <x:c r="L249" s="69" t="str">
        <x:v>2026-08-19</x:v>
      </x:c>
      <x:c r="M249" s="69" t="str">
        <x:v>2026-08-24</x:v>
      </x:c>
      <x:c r="N249" s="70" t="n">
        <x:v>5.16</x:v>
      </x:c>
      <x:c r="O249" s="70" t="n">
        <x:v>12.0449</x:v>
      </x:c>
      <x:c r="P249" s="68" t="n">
        <x:v>0.0629</x:v>
      </x:c>
      <x:c r="Q249" s="70" t="n">
        <x:v>1.4539</x:v>
      </x:c>
      <x:c r="R249" s="68" t="n">
        <x:v>0.2459</x:v>
      </x:c>
      <x:c r="S249" s="68" t="n">
        <x:v>0.038759999999999996</x:v>
      </x:c>
      <x:c r="T249" s="68" t="n">
        <x:v>0.0861</x:v>
      </x:c>
      <x:c r="U249" s="68" t="n">
        <x:v>0.1316</x:v>
      </x:c>
      <x:c r="V249" s="71" t="n">
        <x:v>60.54</x:v>
      </x:c>
      <x:c r="W249" s="71" t="n">
        <x:v>14.19358208</x:v>
      </x:c>
      <x:c r="X249" s="71" t="n">
        <x:v>0.99397864</x:v>
      </x:c>
      <x:c r="Y249" s="68" t="n">
        <x:v>0.1317</x:v>
      </x:c>
      <x:c r="Z249" s="68" t="n">
        <x:v>0.1935</x:v>
      </x:c>
      <x:c r="AA249" s="68" t="n">
        <x:v>0.0886</x:v>
      </x:c>
      <x:c r="AB249" s="68" t="n">
        <x:v>0.02850760203458698</x:v>
      </x:c>
      <x:c r="AC249" s="68" t="n">
        <x:v>0.4805</x:v>
      </x:c>
      <x:c r="AD249" s="60" t="str">
        <x:v>盈利能力 97、同行估值 86</x:v>
      </x:c>
      <x:c r="AE249" s="60" t="str">
        <x:v>现金流 25、行业地位 56</x:v>
      </x:c>
    </x:row>
    <x:row r="250" ht="39.599998474121094" hidden="0" customHeight="1">
      <x:c r="A250" s="60" t="str">
        <x:v>历史低估关注</x:v>
      </x:c>
      <x:c r="B250" s="66" t="str">
        <x:v>603029.SH</x:v>
      </x:c>
      <x:c r="C250" s="60" t="str">
        <x:v>天鹅股份</x:v>
      </x:c>
      <x:c r="D250" s="60" t="str">
        <x:v>机械设备</x:v>
      </x:c>
      <x:c r="E250" s="60" t="str">
        <x:v>专用设备</x:v>
      </x:c>
      <x:c r="F250" s="60" t="str">
        <x:v>农用机械</x:v>
      </x:c>
      <x:c r="G250" s="61" t="n">
        <x:v>1</x:v>
      </x:c>
      <x:c r="H250" s="67" t="n">
        <x:v>67.1875</x:v>
      </x:c>
      <x:c r="I250" s="68" t="n">
        <x:v>1</x:v>
      </x:c>
      <x:c r="J250" s="69" t="str">
        <x:v>历史偏低位</x:v>
      </x:c>
      <x:c r="K250" s="69" t="str">
        <x:v>完整</x:v>
      </x:c>
      <x:c r="L250" s="69" t="str">
        <x:v>2026-08-19</x:v>
      </x:c>
      <x:c r="M250" s="69" t="str">
        <x:v>2026-08-24</x:v>
      </x:c>
      <x:c r="N250" s="70" t="n">
        <x:v>15.67</x:v>
      </x:c>
      <x:c r="O250" s="70" t="n">
        <x:v>25.4636</x:v>
      </x:c>
      <x:c r="P250" s="68" t="n">
        <x:v>0.0867</x:v>
      </x:c>
      <x:c r="Q250" s="70" t="n">
        <x:v>1.9814</x:v>
      </x:c>
      <x:c r="R250" s="68" t="n">
        <x:v>0.2743</x:v>
      </x:c>
      <x:c r="S250" s="68" t="n">
        <x:v>0.011806</x:v>
      </x:c>
      <x:c r="T250" s="68" t="n">
        <x:v>0.1108</x:v>
      </x:c>
      <x:c r="U250" s="68" t="n">
        <x:v>0.1573</x:v>
      </x:c>
      <x:c r="V250" s="71" t="n">
        <x:v>19.28</x:v>
      </x:c>
      <x:c r="W250" s="71" t="n">
        <x:v>3.53312416</x:v>
      </x:c>
      <x:c r="X250" s="71" t="n">
        <x:v>0.22234236</x:v>
      </x:c>
      <x:c r="Y250" s="68" t="n">
        <x:v>0.08109999999999999</x:v>
      </x:c>
      <x:c r="Z250" s="68" t="n">
        <x:v>0.3056</x:v>
      </x:c>
      <x:c r="AA250" s="68" t="n">
        <x:v>0.07780000000000001</x:v>
      </x:c>
      <x:c r="AB250" s="68" t="n">
        <x:v>3.9271933607253247</x:v>
      </x:c>
      <x:c r="AC250" s="68" t="n">
        <x:v>0.6012</x:v>
      </x:c>
      <x:c r="AD250" s="60" t="str">
        <x:v>现金流 95、盈利能力 82</x:v>
      </x:c>
      <x:c r="AE250" s="60" t="str">
        <x:v>稳健性 31、行业地位 42</x:v>
      </x:c>
    </x:row>
    <x:row r="251" ht="39.599998474121094" hidden="0" customHeight="1">
      <x:c r="A251" s="60" t="str">
        <x:v>历史低估关注</x:v>
      </x:c>
      <x:c r="B251" s="66" t="str">
        <x:v>603406.SH</x:v>
      </x:c>
      <x:c r="C251" s="60" t="str">
        <x:v>天富龙</x:v>
      </x:c>
      <x:c r="D251" s="60" t="str">
        <x:v>化工</x:v>
      </x:c>
      <x:c r="E251" s="60" t="str">
        <x:v>化纤</x:v>
      </x:c>
      <x:c r="F251" s="60" t="str">
        <x:v>涤纶</x:v>
      </x:c>
      <x:c r="G251" s="61" t="n">
        <x:v>2</x:v>
      </x:c>
      <x:c r="H251" s="67" t="n">
        <x:v>67.1257</x:v>
      </x:c>
      <x:c r="I251" s="68" t="n">
        <x:v>0.85</x:v>
      </x:c>
      <x:c r="J251" s="69" t="str">
        <x:v>历史偏低位</x:v>
      </x:c>
      <x:c r="K251" s="69" t="str">
        <x:v>部分可用</x:v>
      </x:c>
      <x:c r="L251" s="69" t="str">
        <x:v>2026-08-19</x:v>
      </x:c>
      <x:c r="M251" s="69" t="str">
        <x:v>2026-08-24</x:v>
      </x:c>
      <x:c r="N251" s="70" t="n">
        <x:v>30.72</x:v>
      </x:c>
      <x:c r="O251" s="70" t="n">
        <x:v>28.5143</x:v>
      </x:c>
      <x:c r="P251" s="68" t="n">
        <x:v>0.23800000000000002</x:v>
      </x:c>
      <x:c r="Q251" s="70" t="n">
        <x:v>2.6266</x:v>
      </x:c>
      <x:c r="R251" s="68" t="n">
        <x:v>0.23800000000000002</x:v>
      </x:c>
      <x:c r="S251" s="68"/>
      <x:c r="T251" s="68"/>
      <x:c r="U251" s="68" t="n">
        <x:v>0.23800000000000002</x:v>
      </x:c>
      <x:c r="V251" s="71" t="n">
        <x:v>114.52</x:v>
      </x:c>
      <x:c r="W251" s="71" t="n">
        <x:v>9.34935616</x:v>
      </x:c>
      <x:c r="X251" s="71" t="n">
        <x:v>1.17627408</x:v>
      </x:c>
      <x:c r="Y251" s="68" t="n">
        <x:v>0.11109999999999999</x:v>
      </x:c>
      <x:c r="Z251" s="68" t="n">
        <x:v>0.17850000000000002</x:v>
      </x:c>
      <x:c r="AA251" s="68" t="n">
        <x:v>0.12619999999999998</x:v>
      </x:c>
      <x:c r="AB251" s="68" t="n">
        <x:v>2.5921596776152716</x:v>
      </x:c>
      <x:c r="AC251" s="68" t="n">
        <x:v>0.076</x:v>
      </x:c>
      <x:c r="AD251" s="60" t="str">
        <x:v>盈利能力 94、稳健性 73</x:v>
      </x:c>
      <x:c r="AE251" s="60" t="str">
        <x:v>现金流 44、行业地位 57</x:v>
      </x:c>
    </x:row>
    <x:row r="252" ht="39.599998474121094" hidden="0" customHeight="1">
      <x:c r="A252" s="60" t="str">
        <x:v>历史低估关注</x:v>
      </x:c>
      <x:c r="B252" s="66" t="str">
        <x:v>002007.SZ</x:v>
      </x:c>
      <x:c r="C252" s="60" t="str">
        <x:v>华兰生物</x:v>
      </x:c>
      <x:c r="D252" s="60" t="str">
        <x:v>医药医疗</x:v>
      </x:c>
      <x:c r="E252" s="60" t="str">
        <x:v>生物制品</x:v>
      </x:c>
      <x:c r="F252" s="60" t="str">
        <x:v>血液制品</x:v>
      </x:c>
      <x:c r="G252" s="61" t="n">
        <x:v>2</x:v>
      </x:c>
      <x:c r="H252" s="67" t="n">
        <x:v>66.9833</x:v>
      </x:c>
      <x:c r="I252" s="68" t="n">
        <x:v>1</x:v>
      </x:c>
      <x:c r="J252" s="69" t="str">
        <x:v>历史偏低位</x:v>
      </x:c>
      <x:c r="K252" s="69" t="str">
        <x:v>完整</x:v>
      </x:c>
      <x:c r="L252" s="69" t="str">
        <x:v>2026-08-19</x:v>
      </x:c>
      <x:c r="M252" s="69" t="str">
        <x:v>2026-08-24</x:v>
      </x:c>
      <x:c r="N252" s="70" t="n">
        <x:v>13.04</x:v>
      </x:c>
      <x:c r="O252" s="70" t="n">
        <x:v>27.7596</x:v>
      </x:c>
      <x:c r="P252" s="68" t="n">
        <x:v>0.4318</x:v>
      </x:c>
      <x:c r="Q252" s="70" t="n">
        <x:v>2.0313</x:v>
      </x:c>
      <x:c r="R252" s="68" t="n">
        <x:v>0.0176</x:v>
      </x:c>
      <x:c r="S252" s="68" t="n">
        <x:v>0.076687</x:v>
      </x:c>
      <x:c r="T252" s="68" t="n">
        <x:v>0.0184</x:v>
      </x:c>
      <x:c r="U252" s="68" t="n">
        <x:v>0.1559</x:v>
      </x:c>
      <x:c r="V252" s="71" t="n">
        <x:v>234.42</x:v>
      </x:c>
      <x:c r="W252" s="71" t="n">
        <x:v>12.16131328</x:v>
      </x:c>
      <x:c r="X252" s="71" t="n">
        <x:v>1.55977648</x:v>
      </x:c>
      <x:c r="Y252" s="68" t="n">
        <x:v>0.0819</x:v>
      </x:c>
      <x:c r="Z252" s="68" t="n">
        <x:v>0.5753</x:v>
      </x:c>
      <x:c r="AA252" s="68" t="n">
        <x:v>0.21760000000000002</x:v>
      </x:c>
      <x:c r="AB252" s="68" t="n">
        <x:v>2.739672545902218</x:v>
      </x:c>
      <x:c r="AC252" s="68" t="n">
        <x:v>0.1226</x:v>
      </x:c>
      <x:c r="AD252" s="60" t="str">
        <x:v>稳健性 93、盈利能力 82</x:v>
      </x:c>
      <x:c r="AE252" s="60" t="str">
        <x:v>成长稳定 25、同行估值 51</x:v>
      </x:c>
    </x:row>
    <x:row r="253" ht="39.599998474121094" hidden="0" customHeight="1">
      <x:c r="A253" s="60" t="str">
        <x:v>历史低估关注</x:v>
      </x:c>
      <x:c r="B253" s="66" t="str">
        <x:v>688819.SH</x:v>
      </x:c>
      <x:c r="C253" s="60" t="str">
        <x:v>天能股份</x:v>
      </x:c>
      <x:c r="D253" s="60" t="str">
        <x:v>电力设备</x:v>
      </x:c>
      <x:c r="E253" s="60" t="str">
        <x:v>电池</x:v>
      </x:c>
      <x:c r="F253" s="60" t="str">
        <x:v>其他电池</x:v>
      </x:c>
      <x:c r="G253" s="61" t="n">
        <x:v>1</x:v>
      </x:c>
      <x:c r="H253" s="67" t="n">
        <x:v>66.8357</x:v>
      </x:c>
      <x:c r="I253" s="68" t="n">
        <x:v>1</x:v>
      </x:c>
      <x:c r="J253" s="69" t="str">
        <x:v>历史偏低位</x:v>
      </x:c>
      <x:c r="K253" s="69" t="str">
        <x:v>完整</x:v>
      </x:c>
      <x:c r="L253" s="69" t="str">
        <x:v>2026-08-19</x:v>
      </x:c>
      <x:c r="M253" s="69" t="str">
        <x:v>2026-08-24</x:v>
      </x:c>
      <x:c r="N253" s="70" t="n">
        <x:v>21.4</x:v>
      </x:c>
      <x:c r="O253" s="70" t="n">
        <x:v>16.6934</x:v>
      </x:c>
      <x:c r="P253" s="68" t="n">
        <x:v>0.3696</x:v>
      </x:c>
      <x:c r="Q253" s="70" t="n">
        <x:v>1.2137</x:v>
      </x:c>
      <x:c r="R253" s="68" t="n">
        <x:v>0.0051</x:v>
      </x:c>
      <x:c r="S253" s="68" t="n">
        <x:v>0.025701</x:v>
      </x:c>
      <x:c r="T253" s="68" t="n">
        <x:v>0.0806</x:v>
      </x:c>
      <x:c r="U253" s="68" t="n">
        <x:v>0.1518</x:v>
      </x:c>
      <x:c r="V253" s="71" t="n">
        <x:v>212.11</x:v>
      </x:c>
      <x:c r="W253" s="71" t="n">
        <x:v>123.90234112</x:v>
      </x:c>
      <x:c r="X253" s="71" t="n">
        <x:v>2.31649824</x:v>
      </x:c>
      <x:c r="Y253" s="68" t="n">
        <x:v>0.09699999999999999</x:v>
      </x:c>
      <x:c r="Z253" s="68" t="n">
        <x:v>0.1435</x:v>
      </x:c>
      <x:c r="AA253" s="68" t="n">
        <x:v>0.0354</x:v>
      </x:c>
      <x:c r="AB253" s="68" t="n">
        <x:v>16.261156667228896</x:v>
      </x:c>
      <x:c r="AC253" s="68" t="n">
        <x:v>0.6099</x:v>
      </x:c>
      <x:c r="AD253" s="60" t="str">
        <x:v>行业地位 91、同行估值 87</x:v>
      </x:c>
      <x:c r="AE253" s="60" t="str">
        <x:v>盈利能力 36、成长稳定 48</x:v>
      </x:c>
    </x:row>
    <x:row r="254" ht="39.599998474121094" hidden="0" customHeight="1">
      <x:c r="A254" s="60" t="str">
        <x:v>历史低估关注</x:v>
      </x:c>
      <x:c r="B254" s="66" t="str">
        <x:v>300292.SZ</x:v>
      </x:c>
      <x:c r="C254" s="60" t="str">
        <x:v>吴通控股</x:v>
      </x:c>
      <x:c r="D254" s="60" t="str">
        <x:v>通信</x:v>
      </x:c>
      <x:c r="E254" s="60" t="str">
        <x:v>电信服务</x:v>
      </x:c>
      <x:c r="F254" s="60" t="str">
        <x:v>电信增值服务</x:v>
      </x:c>
      <x:c r="G254" s="61" t="n">
        <x:v>2</x:v>
      </x:c>
      <x:c r="H254" s="67" t="n">
        <x:v>66.733</x:v>
      </x:c>
      <x:c r="I254" s="68" t="n">
        <x:v>1</x:v>
      </x:c>
      <x:c r="J254" s="69" t="str">
        <x:v>历史偏低位</x:v>
      </x:c>
      <x:c r="K254" s="69" t="str">
        <x:v>完整</x:v>
      </x:c>
      <x:c r="L254" s="69" t="str">
        <x:v>2026-08-19</x:v>
      </x:c>
      <x:c r="M254" s="69" t="str">
        <x:v>2026-08-24</x:v>
      </x:c>
      <x:c r="N254" s="70" t="n">
        <x:v>4.07</x:v>
      </x:c>
      <x:c r="O254" s="70" t="n">
        <x:v>44.1893</x:v>
      </x:c>
      <x:c r="P254" s="68" t="n">
        <x:v>0.0052</x:v>
      </x:c>
      <x:c r="Q254" s="70" t="n">
        <x:v>3.7172</x:v>
      </x:c>
      <x:c r="R254" s="68" t="n">
        <x:v>0.2455</x:v>
      </x:c>
      <x:c r="S254" s="68"/>
      <x:c r="T254" s="68"/>
      <x:c r="U254" s="68" t="n">
        <x:v>0.12539999999999998</x:v>
      </x:c>
      <x:c r="V254" s="71" t="n">
        <x:v>55.41</x:v>
      </x:c>
      <x:c r="W254" s="71" t="n">
        <x:v>10.35518976</x:v>
      </x:c>
      <x:c r="X254" s="71" t="n">
        <x:v>0.2557541</x:v>
      </x:c>
      <x:c r="Y254" s="68" t="n">
        <x:v>0.0833</x:v>
      </x:c>
      <x:c r="Z254" s="68" t="n">
        <x:v>0.0977</x:v>
      </x:c>
      <x:c r="AA254" s="68" t="n">
        <x:v>0.028399999999999998</x:v>
      </x:c>
      <x:c r="AB254" s="68" t="n">
        <x:v>6.370034967181366</x:v>
      </x:c>
      <x:c r="AC254" s="68" t="n">
        <x:v>0.3896</x:v>
      </x:c>
      <x:c r="AD254" s="60" t="str">
        <x:v>行业地位 79、同行估值 72</x:v>
      </x:c>
      <x:c r="AE254" s="60" t="str">
        <x:v>稳健性 44、成长稳定 58</x:v>
      </x:c>
    </x:row>
    <x:row r="255" ht="39.599998474121094" hidden="0" customHeight="1">
      <x:c r="A255" s="60" t="str">
        <x:v>历史低估关注</x:v>
      </x:c>
      <x:c r="B255" s="66" t="str">
        <x:v>600059.SH</x:v>
      </x:c>
      <x:c r="C255" s="60" t="str">
        <x:v>古越龙山</x:v>
      </x:c>
      <x:c r="D255" s="60" t="str">
        <x:v>食品饮料</x:v>
      </x:c>
      <x:c r="E255" s="60" t="str">
        <x:v>酿酒</x:v>
      </x:c>
      <x:c r="F255" s="60" t="str">
        <x:v>黄酒</x:v>
      </x:c>
      <x:c r="G255" s="61" t="n">
        <x:v>1</x:v>
      </x:c>
      <x:c r="H255" s="67" t="n">
        <x:v>66.5</x:v>
      </x:c>
      <x:c r="I255" s="68" t="n">
        <x:v>1</x:v>
      </x:c>
      <x:c r="J255" s="69" t="str">
        <x:v>历史偏低位</x:v>
      </x:c>
      <x:c r="K255" s="69" t="str">
        <x:v>完整</x:v>
      </x:c>
      <x:c r="L255" s="69" t="str">
        <x:v>2026-08-19</x:v>
      </x:c>
      <x:c r="M255" s="69" t="str">
        <x:v>2026-08-24</x:v>
      </x:c>
      <x:c r="N255" s="70" t="n">
        <x:v>8.03</x:v>
      </x:c>
      <x:c r="O255" s="70" t="n">
        <x:v>32.487</x:v>
      </x:c>
      <x:c r="P255" s="68" t="n">
        <x:v>0.2211</x:v>
      </x:c>
      <x:c r="Q255" s="70" t="n">
        <x:v>1.2395</x:v>
      </x:c>
      <x:c r="R255" s="68" t="n">
        <x:v>0.0711</x:v>
      </x:c>
      <x:c r="S255" s="68" t="n">
        <x:v>0.011208000000000001</x:v>
      </x:c>
      <x:c r="T255" s="68" t="n">
        <x:v>0.2318</x:v>
      </x:c>
      <x:c r="U255" s="68" t="n">
        <x:v>0.1747</x:v>
      </x:c>
      <x:c r="V255" s="71" t="n">
        <x:v>73.29</x:v>
      </x:c>
      <x:c r="W255" s="71" t="n">
        <x:v>6.4457728</x:v>
      </x:c>
      <x:c r="X255" s="71" t="n">
        <x:v>0.87413208</x:v>
      </x:c>
      <x:c r="Y255" s="68" t="n">
        <x:v>0.0377</x:v>
      </x:c>
      <x:c r="Z255" s="68" t="n">
        <x:v>0.37670000000000003</x:v>
      </x:c>
      <x:c r="AA255" s="68" t="n">
        <x:v>0.1213</x:v>
      </x:c>
      <x:c r="AB255" s="68" t="n">
        <x:v>6.0250907620276335</x:v>
      </x:c>
      <x:c r="AC255" s="68" t="n">
        <x:v>0.1445</x:v>
      </x:c>
      <x:c r="AD255" s="60" t="str">
        <x:v>成长稳定 90、稳健性 80</x:v>
      </x:c>
      <x:c r="AE255" s="60" t="str">
        <x:v>盈利能力 35、行业地位 65</x:v>
      </x:c>
    </x:row>
    <x:row r="256" ht="39.599998474121094" hidden="0" customHeight="1">
      <x:c r="A256" s="60" t="str">
        <x:v>历史低估关注</x:v>
      </x:c>
      <x:c r="B256" s="66" t="str">
        <x:v>603713.SH</x:v>
      </x:c>
      <x:c r="C256" s="60" t="str">
        <x:v>密尔克卫</x:v>
      </x:c>
      <x:c r="D256" s="60" t="str">
        <x:v>交通运输</x:v>
      </x:c>
      <x:c r="E256" s="60" t="str">
        <x:v>物流</x:v>
      </x:c>
      <x:c r="F256" s="60" t="str">
        <x:v>仓储物流</x:v>
      </x:c>
      <x:c r="G256" s="61" t="n">
        <x:v>1</x:v>
      </x:c>
      <x:c r="H256" s="67" t="n">
        <x:v>66.3</x:v>
      </x:c>
      <x:c r="I256" s="68" t="n">
        <x:v>1</x:v>
      </x:c>
      <x:c r="J256" s="69" t="str">
        <x:v>历史偏低位</x:v>
      </x:c>
      <x:c r="K256" s="69" t="str">
        <x:v>完整</x:v>
      </x:c>
      <x:c r="L256" s="69" t="str">
        <x:v>2026-08-19</x:v>
      </x:c>
      <x:c r="M256" s="69" t="str">
        <x:v>2026-08-24</x:v>
      </x:c>
      <x:c r="N256" s="70" t="n">
        <x:v>64.69</x:v>
      </x:c>
      <x:c r="O256" s="70" t="n">
        <x:v>17.6277</x:v>
      </x:c>
      <x:c r="P256" s="68" t="n">
        <x:v>0.4089</x:v>
      </x:c>
      <x:c r="Q256" s="70" t="n">
        <x:v>2.2745</x:v>
      </x:c>
      <x:c r="R256" s="68" t="n">
        <x:v>0.4537</x:v>
      </x:c>
      <x:c r="S256" s="68" t="n">
        <x:v>0.015458000000000001</x:v>
      </x:c>
      <x:c r="T256" s="68" t="n">
        <x:v>0.0252</x:v>
      </x:c>
      <x:c r="U256" s="68" t="n">
        <x:v>0.2959</x:v>
      </x:c>
      <x:c r="V256" s="71" t="n">
        <x:v>110.69</x:v>
      </x:c>
      <x:c r="W256" s="71" t="n">
        <x:v>26.6488192</x:v>
      </x:c>
      <x:c r="X256" s="71" t="n">
        <x:v>1.01809856</x:v>
      </x:c>
      <x:c r="Y256" s="68" t="n">
        <x:v>0.1387</x:v>
      </x:c>
      <x:c r="Z256" s="68" t="n">
        <x:v>0.11539999999999999</x:v>
      </x:c>
      <x:c r="AA256" s="68" t="n">
        <x:v>0.0559</x:v>
      </x:c>
      <x:c r="AB256" s="68" t="n">
        <x:v>-1.8472034770386079</x:v>
      </x:c>
      <x:c r="AC256" s="68" t="n">
        <x:v>0.7447</x:v>
      </x:c>
      <x:c r="AD256" s="60" t="str">
        <x:v>行业地位 94、成长稳定 90</x:v>
      </x:c>
      <x:c r="AE256" s="60" t="str">
        <x:v>现金流 10、稳健性 30</x:v>
      </x:c>
    </x:row>
    <x:row r="257" ht="39.599998474121094" hidden="0" customHeight="1">
      <x:c r="A257" s="60" t="str">
        <x:v>历史低估关注</x:v>
      </x:c>
      <x:c r="B257" s="66" t="str">
        <x:v>600639.SH</x:v>
      </x:c>
      <x:c r="C257" s="60" t="str">
        <x:v>浦东金桥</x:v>
      </x:c>
      <x:c r="D257" s="60" t="str">
        <x:v>房地产</x:v>
      </x:c>
      <x:c r="E257" s="60" t="str">
        <x:v>房地产开发</x:v>
      </x:c>
      <x:c r="F257" s="60" t="str">
        <x:v>产业地产</x:v>
      </x:c>
      <x:c r="G257" s="61" t="n">
        <x:v>1</x:v>
      </x:c>
      <x:c r="H257" s="67" t="n">
        <x:v>65.5656</x:v>
      </x:c>
      <x:c r="I257" s="68" t="n">
        <x:v>1</x:v>
      </x:c>
      <x:c r="J257" s="69" t="str">
        <x:v>历史偏低位</x:v>
      </x:c>
      <x:c r="K257" s="69" t="str">
        <x:v>完整</x:v>
      </x:c>
      <x:c r="L257" s="69" t="str">
        <x:v>2026-08-19</x:v>
      </x:c>
      <x:c r="M257" s="69" t="str">
        <x:v>2026-08-24</x:v>
      </x:c>
      <x:c r="N257" s="70" t="n">
        <x:v>9.49</x:v>
      </x:c>
      <x:c r="O257" s="70" t="n">
        <x:v>10.2141</x:v>
      </x:c>
      <x:c r="P257" s="68" t="n">
        <x:v>0.4057</x:v>
      </x:c>
      <x:c r="Q257" s="70" t="n">
        <x:v>0.7072</x:v>
      </x:c>
      <x:c r="R257" s="68" t="n">
        <x:v>0.02</x:v>
      </x:c>
      <x:c r="S257" s="68" t="n">
        <x:v>0.04215</x:v>
      </x:c>
      <x:c r="T257" s="68" t="n">
        <x:v>0.45640000000000003</x:v>
      </x:c>
      <x:c r="U257" s="68" t="n">
        <x:v>0.294</x:v>
      </x:c>
      <x:c r="V257" s="71" t="n">
        <x:v>105.06</x:v>
      </x:c>
      <x:c r="W257" s="71" t="n">
        <x:v>45.50401536</x:v>
      </x:c>
      <x:c r="X257" s="71" t="n">
        <x:v>7.35119552</x:v>
      </x:c>
      <x:c r="Y257" s="68" t="n">
        <x:v>0.073</x:v>
      </x:c>
      <x:c r="Z257" s="68" t="n">
        <x:v>0.321</x:v>
      </x:c>
      <x:c r="AA257" s="68" t="n">
        <x:v>0.17170000000000002</x:v>
      </x:c>
      <x:c r="AB257" s="68" t="n">
        <x:v>-1.3262852788331225</x:v>
      </x:c>
      <x:c r="AC257" s="68" t="n">
        <x:v>0.5914</x:v>
      </x:c>
      <x:c r="AD257" s="60" t="str">
        <x:v>同行估值 84、成长稳定 75</x:v>
      </x:c>
      <x:c r="AE257" s="60" t="str">
        <x:v>现金流 17、稳健性 68</x:v>
      </x:c>
    </x:row>
    <x:row r="258" ht="39.599998474121094" hidden="0" customHeight="1">
      <x:c r="A258" s="60" t="str">
        <x:v>历史低估关注</x:v>
      </x:c>
      <x:c r="B258" s="66" t="str">
        <x:v>002226.SZ</x:v>
      </x:c>
      <x:c r="C258" s="60" t="str">
        <x:v>江南化工</x:v>
      </x:c>
      <x:c r="D258" s="60" t="str">
        <x:v>化工</x:v>
      </x:c>
      <x:c r="E258" s="60" t="str">
        <x:v>化学制品</x:v>
      </x:c>
      <x:c r="F258" s="60" t="str">
        <x:v>民爆制品</x:v>
      </x:c>
      <x:c r="G258" s="61" t="n">
        <x:v>2</x:v>
      </x:c>
      <x:c r="H258" s="67" t="n">
        <x:v>65.2524</x:v>
      </x:c>
      <x:c r="I258" s="68" t="n">
        <x:v>1</x:v>
      </x:c>
      <x:c r="J258" s="69" t="str">
        <x:v>历史偏低位</x:v>
      </x:c>
      <x:c r="K258" s="69" t="str">
        <x:v>完整</x:v>
      </x:c>
      <x:c r="L258" s="69" t="str">
        <x:v>2026-08-19</x:v>
      </x:c>
      <x:c r="M258" s="69" t="str">
        <x:v>2026-08-24</x:v>
      </x:c>
      <x:c r="N258" s="70" t="n">
        <x:v>5.03</x:v>
      </x:c>
      <x:c r="O258" s="70" t="n">
        <x:v>17.8607</x:v>
      </x:c>
      <x:c r="P258" s="68" t="n">
        <x:v>0.444</x:v>
      </x:c>
      <x:c r="Q258" s="70" t="n">
        <x:v>1.3736</x:v>
      </x:c>
      <x:c r="R258" s="68" t="n">
        <x:v>0.1605</x:v>
      </x:c>
      <x:c r="S258" s="68" t="n">
        <x:v>0.017495</x:v>
      </x:c>
      <x:c r="T258" s="68" t="n">
        <x:v>0.0229</x:v>
      </x:c>
      <x:c r="U258" s="68" t="n">
        <x:v>0.2091</x:v>
      </x:c>
      <x:c r="V258" s="71" t="n">
        <x:v>133.77</x:v>
      </x:c>
      <x:c r="W258" s="71" t="n">
        <x:v>30.9668992</x:v>
      </x:c>
      <x:c r="X258" s="71" t="n">
        <x:v>0.93259248</x:v>
      </x:c>
      <x:c r="Y258" s="68" t="n">
        <x:v>0.0764</x:v>
      </x:c>
      <x:c r="Z258" s="68" t="n">
        <x:v>0.304</x:v>
      </x:c>
      <x:c r="AA258" s="68" t="n">
        <x:v>0.1065</x:v>
      </x:c>
      <x:c r="AB258" s="68" t="n">
        <x:v>2.8854525612301747</x:v>
      </x:c>
      <x:c r="AC258" s="68" t="n">
        <x:v>0.4639</x:v>
      </x:c>
      <x:c r="AD258" s="60" t="str">
        <x:v>同行估值 82、行业地位 80</x:v>
      </x:c>
      <x:c r="AE258" s="60" t="str">
        <x:v>现金流 45、盈利能力 51</x:v>
      </x:c>
    </x:row>
    <x:row r="259" ht="39.599998474121094" hidden="0" customHeight="1">
      <x:c r="A259" s="60" t="str">
        <x:v>历史低估关注</x:v>
      </x:c>
      <x:c r="B259" s="66" t="str">
        <x:v>001207.SZ</x:v>
      </x:c>
      <x:c r="C259" s="60" t="str">
        <x:v>联科科技</x:v>
      </x:c>
      <x:c r="D259" s="60" t="str">
        <x:v>化工</x:v>
      </x:c>
      <x:c r="E259" s="60" t="str">
        <x:v>橡胶</x:v>
      </x:c>
      <x:c r="F259" s="60" t="str">
        <x:v>炭黑</x:v>
      </x:c>
      <x:c r="G259" s="61" t="n">
        <x:v>2</x:v>
      </x:c>
      <x:c r="H259" s="67" t="n">
        <x:v>65.25</x:v>
      </x:c>
      <x:c r="I259" s="68" t="n">
        <x:v>1</x:v>
      </x:c>
      <x:c r="J259" s="69" t="str">
        <x:v>历史偏低位</x:v>
      </x:c>
      <x:c r="K259" s="69" t="str">
        <x:v>完整</x:v>
      </x:c>
      <x:c r="L259" s="69" t="str">
        <x:v>2026-08-19</x:v>
      </x:c>
      <x:c r="M259" s="69" t="str">
        <x:v>2026-08-24</x:v>
      </x:c>
      <x:c r="N259" s="70" t="n">
        <x:v>16.87</x:v>
      </x:c>
      <x:c r="O259" s="70" t="n">
        <x:v>17.324</x:v>
      </x:c>
      <x:c r="P259" s="68" t="n">
        <x:v>0.3558</x:v>
      </x:c>
      <x:c r="Q259" s="70" t="n">
        <x:v>2.1175</x:v>
      </x:c>
      <x:c r="R259" s="68" t="n">
        <x:v>0.364</x:v>
      </x:c>
      <x:c r="S259" s="68" t="n">
        <x:v>0.047421</x:v>
      </x:c>
      <x:c r="T259" s="68" t="n">
        <x:v>0.0487</x:v>
      </x:c>
      <x:c r="U259" s="68" t="n">
        <x:v>0.2562</x:v>
      </x:c>
      <x:c r="V259" s="71" t="n">
        <x:v>50.93</x:v>
      </x:c>
      <x:c r="W259" s="71" t="n">
        <x:v>5.69236352</x:v>
      </x:c>
      <x:c r="X259" s="71" t="n">
        <x:v>0.62443088</x:v>
      </x:c>
      <x:c r="Y259" s="68" t="n">
        <x:v>0.14300000000000002</x:v>
      </x:c>
      <x:c r="Z259" s="68" t="n">
        <x:v>0.1977</x:v>
      </x:c>
      <x:c r="AA259" s="68" t="n">
        <x:v>0.125</x:v>
      </x:c>
      <x:c r="AB259" s="68" t="n">
        <x:v>1.2011279134689816</x:v>
      </x:c>
      <x:c r="AC259" s="68" t="n">
        <x:v>0.2662</x:v>
      </x:c>
      <x:c r="AD259" s="60" t="str">
        <x:v>盈利能力 85、稳健性 68</x:v>
      </x:c>
      <x:c r="AE259" s="60" t="str">
        <x:v>行业地位 50、现金流 64</x:v>
      </x:c>
    </x:row>
    <x:row r="260" ht="39.599998474121094" hidden="0" customHeight="1">
      <x:c r="A260" s="60" t="str">
        <x:v>历史低估关注</x:v>
      </x:c>
      <x:c r="B260" s="66" t="str">
        <x:v>688349.SH</x:v>
      </x:c>
      <x:c r="C260" s="60" t="str">
        <x:v>三一重能</x:v>
      </x:c>
      <x:c r="D260" s="60" t="str">
        <x:v>电力设备</x:v>
      </x:c>
      <x:c r="E260" s="60" t="str">
        <x:v>风电设备</x:v>
      </x:c>
      <x:c r="F260" s="60" t="str">
        <x:v>风电整机</x:v>
      </x:c>
      <x:c r="G260" s="61" t="n">
        <x:v>2</x:v>
      </x:c>
      <x:c r="H260" s="67" t="n">
        <x:v>64.875</x:v>
      </x:c>
      <x:c r="I260" s="68" t="n">
        <x:v>1</x:v>
      </x:c>
      <x:c r="J260" s="69" t="str">
        <x:v>历史偏低位</x:v>
      </x:c>
      <x:c r="K260" s="69" t="str">
        <x:v>完整</x:v>
      </x:c>
      <x:c r="L260" s="69" t="str">
        <x:v>2026-08-19</x:v>
      </x:c>
      <x:c r="M260" s="69" t="str">
        <x:v>2026-08-24</x:v>
      </x:c>
      <x:c r="N260" s="70" t="n">
        <x:v>14.08</x:v>
      </x:c>
      <x:c r="O260" s="70" t="n">
        <x:v>20.7174</x:v>
      </x:c>
      <x:c r="P260" s="68" t="n">
        <x:v>0.23989999999999997</x:v>
      </x:c>
      <x:c r="Q260" s="70" t="n">
        <x:v>1.5616</x:v>
      </x:c>
      <x:c r="R260" s="68" t="n">
        <x:v>0.0143</x:v>
      </x:c>
      <x:c r="S260" s="68" t="n">
        <x:v>0.026278000000000003</x:v>
      </x:c>
      <x:c r="T260" s="68" t="n">
        <x:v>0.0593</x:v>
      </x:c>
      <x:c r="U260" s="68" t="n">
        <x:v>0.1045</x:v>
      </x:c>
      <x:c r="V260" s="71" t="n">
        <x:v>220.52</x:v>
      </x:c>
      <x:c r="W260" s="71" t="n">
        <x:v>129.29339392</x:v>
      </x:c>
      <x:c r="X260" s="71" t="n">
        <x:v>5.90387968</x:v>
      </x:c>
      <x:c r="Y260" s="68" t="n">
        <x:v>0.0516</x:v>
      </x:c>
      <x:c r="Z260" s="68" t="n">
        <x:v>0.09699999999999999</x:v>
      </x:c>
      <x:c r="AA260" s="68" t="n">
        <x:v>0.026000000000000002</x:v>
      </x:c>
      <x:c r="AB260" s="68" t="n">
        <x:v>0.4642557485182353</x:v>
      </x:c>
      <x:c r="AC260" s="68" t="n">
        <x:v>0.6884</x:v>
      </x:c>
      <x:c r="AD260" s="60" t="str">
        <x:v>同行估值 85、行业地位 72</x:v>
      </x:c>
      <x:c r="AE260" s="60" t="str">
        <x:v>现金流 33、盈利能力 58</x:v>
      </x:c>
    </x:row>
    <x:row r="261" ht="39.599998474121094" hidden="0" customHeight="1">
      <x:c r="A261" s="60" t="str">
        <x:v>历史低估关注</x:v>
      </x:c>
      <x:c r="B261" s="66" t="str">
        <x:v>600787.SH</x:v>
      </x:c>
      <x:c r="C261" s="60" t="str">
        <x:v>中储股份</x:v>
      </x:c>
      <x:c r="D261" s="60" t="str">
        <x:v>交通运输</x:v>
      </x:c>
      <x:c r="E261" s="60" t="str">
        <x:v>物流</x:v>
      </x:c>
      <x:c r="F261" s="60" t="str">
        <x:v>仓储物流</x:v>
      </x:c>
      <x:c r="G261" s="61" t="n">
        <x:v>2</x:v>
      </x:c>
      <x:c r="H261" s="67" t="n">
        <x:v>64.5</x:v>
      </x:c>
      <x:c r="I261" s="68" t="n">
        <x:v>1</x:v>
      </x:c>
      <x:c r="J261" s="69" t="str">
        <x:v>历史偏低位</x:v>
      </x:c>
      <x:c r="K261" s="69" t="str">
        <x:v>完整</x:v>
      </x:c>
      <x:c r="L261" s="69" t="str">
        <x:v>2026-08-19</x:v>
      </x:c>
      <x:c r="M261" s="69" t="str">
        <x:v>2026-08-24</x:v>
      </x:c>
      <x:c r="N261" s="70" t="n">
        <x:v>4.56</x:v>
      </x:c>
      <x:c r="O261" s="70" t="n">
        <x:v>17.85</x:v>
      </x:c>
      <x:c r="P261" s="68" t="n">
        <x:v>0.4705</x:v>
      </x:c>
      <x:c r="Q261" s="70" t="n">
        <x:v>0.7076</x:v>
      </x:c>
      <x:c r="R261" s="68" t="n">
        <x:v>0.033</x:v>
      </x:c>
      <x:c r="S261" s="68" t="n">
        <x:v>0.024781</x:v>
      </x:c>
      <x:c r="T261" s="68" t="n">
        <x:v>0.2864</x:v>
      </x:c>
      <x:c r="U261" s="68" t="n">
        <x:v>0.2633</x:v>
      </x:c>
      <x:c r="V261" s="71" t="n">
        <x:v>98.52</x:v>
      </x:c>
      <x:c r="W261" s="71" t="n">
        <x:v>198.98744832</x:v>
      </x:c>
      <x:c r="X261" s="71" t="n">
        <x:v>1.01094568</x:v>
      </x:c>
      <x:c r="Y261" s="68" t="n">
        <x:v>0.0398</x:v>
      </x:c>
      <x:c r="Z261" s="68" t="n">
        <x:v>0.03</x:v>
      </x:c>
      <x:c r="AA261" s="68" t="n">
        <x:v>0.0085</x:v>
      </x:c>
      <x:c r="AB261" s="68" t="n">
        <x:v>4.765002527138748</x:v>
      </x:c>
      <x:c r="AC261" s="68" t="n">
        <x:v>0.37170000000000003</x:v>
      </x:c>
      <x:c r="AD261" s="60" t="str">
        <x:v>行业地位 86、同行估值 80</x:v>
      </x:c>
      <x:c r="AE261" s="60" t="str">
        <x:v>成长稳定 40、盈利能力 50</x:v>
      </x:c>
    </x:row>
    <x:row r="262" ht="39.599998474121094" hidden="0" customHeight="1">
      <x:c r="A262" s="60" t="str">
        <x:v>历史低估关注</x:v>
      </x:c>
      <x:c r="B262" s="66" t="str">
        <x:v>300917.SZ</x:v>
      </x:c>
      <x:c r="C262" s="60" t="str">
        <x:v>特发服务</x:v>
      </x:c>
      <x:c r="D262" s="60" t="str">
        <x:v>房地产</x:v>
      </x:c>
      <x:c r="E262" s="60" t="str">
        <x:v>房产服务</x:v>
      </x:c>
      <x:c r="F262" s="60" t="str">
        <x:v>物业管理</x:v>
      </x:c>
      <x:c r="G262" s="61" t="n">
        <x:v>1</x:v>
      </x:c>
      <x:c r="H262" s="67" t="n">
        <x:v>64.3</x:v>
      </x:c>
      <x:c r="I262" s="68" t="n">
        <x:v>1</x:v>
      </x:c>
      <x:c r="J262" s="69" t="str">
        <x:v>历史偏低位</x:v>
      </x:c>
      <x:c r="K262" s="69" t="str">
        <x:v>完整</x:v>
      </x:c>
      <x:c r="L262" s="69" t="str">
        <x:v>2026-08-19</x:v>
      </x:c>
      <x:c r="M262" s="69" t="str">
        <x:v>2026-08-24</x:v>
      </x:c>
      <x:c r="N262" s="70" t="n">
        <x:v>26.62</x:v>
      </x:c>
      <x:c r="O262" s="70" t="n">
        <x:v>36.1894</x:v>
      </x:c>
      <x:c r="P262" s="68" t="n">
        <x:v>0.2815</x:v>
      </x:c>
      <x:c r="Q262" s="70" t="n">
        <x:v>3.6626</x:v>
      </x:c>
      <x:c r="R262" s="68" t="n">
        <x:v>0.055099999999999996</x:v>
      </x:c>
      <x:c r="S262" s="68" t="n">
        <x:v>0.01127</x:v>
      </x:c>
      <x:c r="T262" s="68" t="n">
        <x:v>0.1861</x:v>
      </x:c>
      <x:c r="U262" s="68" t="n">
        <x:v>0.17420000000000002</x:v>
      </x:c>
      <x:c r="V262" s="71" t="n">
        <x:v>43.55</x:v>
      </x:c>
      <x:c r="W262" s="71" t="n">
        <x:v>8.3663712</x:v>
      </x:c>
      <x:c r="X262" s="71" t="n">
        <x:v>0.32988224</x:v>
      </x:c>
      <x:c r="Y262" s="68" t="n">
        <x:v>0.1032</x:v>
      </x:c>
      <x:c r="Z262" s="68" t="n">
        <x:v>0.1186</x:v>
      </x:c>
      <x:c r="AA262" s="68" t="n">
        <x:v>0.0455</x:v>
      </x:c>
      <x:c r="AB262" s="68" t="n">
        <x:v>3.1248658915375374</x:v>
      </x:c>
      <x:c r="AC262" s="68" t="n">
        <x:v>0.3994</x:v>
      </x:c>
      <x:c r="AD262" s="60" t="str">
        <x:v>成长稳定 94、行业地位 78</x:v>
      </x:c>
      <x:c r="AE262" s="60" t="str">
        <x:v>同行估值 34、现金流 44</x:v>
      </x:c>
    </x:row>
    <x:row r="263" ht="39.599998474121094" hidden="0" customHeight="1">
      <x:c r="A263" s="60" t="str">
        <x:v>历史低估关注</x:v>
      </x:c>
      <x:c r="B263" s="66" t="str">
        <x:v>001328.SZ</x:v>
      </x:c>
      <x:c r="C263" s="60" t="str">
        <x:v>登康口腔</x:v>
      </x:c>
      <x:c r="D263" s="60" t="str">
        <x:v>化工</x:v>
      </x:c>
      <x:c r="E263" s="60" t="str">
        <x:v>日用化工</x:v>
      </x:c>
      <x:c r="F263" s="60" t="str">
        <x:v>洗护用品</x:v>
      </x:c>
      <x:c r="G263" s="61" t="n">
        <x:v>2</x:v>
      </x:c>
      <x:c r="H263" s="67" t="n">
        <x:v>64.2773</x:v>
      </x:c>
      <x:c r="I263" s="68" t="n">
        <x:v>0.85</x:v>
      </x:c>
      <x:c r="J263" s="69" t="str">
        <x:v>历史偏低位</x:v>
      </x:c>
      <x:c r="K263" s="69" t="str">
        <x:v>完整</x:v>
      </x:c>
      <x:c r="L263" s="69" t="str">
        <x:v>2026-08-19</x:v>
      </x:c>
      <x:c r="M263" s="69" t="str">
        <x:v>2026-08-24</x:v>
      </x:c>
      <x:c r="N263" s="70" t="n">
        <x:v>28.65</x:v>
      </x:c>
      <x:c r="O263" s="70" t="n">
        <x:v>26.001</x:v>
      </x:c>
      <x:c r="P263" s="68" t="n">
        <x:v>0.0404</x:v>
      </x:c>
      <x:c r="Q263" s="70" t="n">
        <x:v>3.1351</x:v>
      </x:c>
      <x:c r="R263" s="68" t="n">
        <x:v>0.2316</x:v>
      </x:c>
      <x:c r="S263" s="68" t="n">
        <x:v>0.029668</x:v>
      </x:c>
      <x:c r="T263" s="68" t="n">
        <x:v>0.0453</x:v>
      </x:c>
      <x:c r="U263" s="68" t="n">
        <x:v>0.1058</x:v>
      </x:c>
      <x:c r="V263" s="71" t="n">
        <x:v>48.14</x:v>
      </x:c>
      <x:c r="W263" s="71" t="n">
        <x:v>4.87540512</x:v>
      </x:c>
      <x:c r="X263" s="71" t="n">
        <x:v>0.451975</x:v>
      </x:c>
      <x:c r="Y263" s="68" t="n">
        <x:v>0.1223</x:v>
      </x:c>
      <x:c r="Z263" s="68" t="n">
        <x:v>0.5223</x:v>
      </x:c>
      <x:c r="AA263" s="68" t="n">
        <x:v>0.10550000000000001</x:v>
      </x:c>
      <x:c r="AB263" s="68" t="n">
        <x:v>0.8311708390950827</x:v>
      </x:c>
      <x:c r="AC263" s="68" t="n">
        <x:v>0.2503</x:v>
      </x:c>
      <x:c r="AD263" s="60" t="str">
        <x:v>盈利能力 81、行业地位 70</x:v>
      </x:c>
      <x:c r="AE263" s="60" t="str">
        <x:v>现金流 38、同行估值 58</x:v>
      </x:c>
    </x:row>
    <x:row r="264" ht="39.599998474121094" hidden="0" customHeight="1">
      <x:c r="A264" s="60" t="str">
        <x:v>历史低估关注</x:v>
      </x:c>
      <x:c r="B264" s="66" t="str">
        <x:v>600496.SH</x:v>
      </x:c>
      <x:c r="C264" s="60" t="str">
        <x:v>精工钢构</x:v>
      </x:c>
      <x:c r="D264" s="60" t="str">
        <x:v>建筑</x:v>
      </x:c>
      <x:c r="E264" s="60" t="str">
        <x:v>专业工程</x:v>
      </x:c>
      <x:c r="F264" s="60" t="str">
        <x:v>钢结构</x:v>
      </x:c>
      <x:c r="G264" s="61" t="n">
        <x:v>2</x:v>
      </x:c>
      <x:c r="H264" s="67" t="n">
        <x:v>64.2222</x:v>
      </x:c>
      <x:c r="I264" s="68" t="n">
        <x:v>1</x:v>
      </x:c>
      <x:c r="J264" s="69" t="str">
        <x:v>历史偏低位</x:v>
      </x:c>
      <x:c r="K264" s="69" t="str">
        <x:v>完整</x:v>
      </x:c>
      <x:c r="L264" s="69" t="str">
        <x:v>2026-08-19</x:v>
      </x:c>
      <x:c r="M264" s="69" t="str">
        <x:v>2026-08-24</x:v>
      </x:c>
      <x:c r="N264" s="70" t="n">
        <x:v>3.31</x:v>
      </x:c>
      <x:c r="O264" s="70" t="n">
        <x:v>10.4196</x:v>
      </x:c>
      <x:c r="P264" s="68" t="n">
        <x:v>0.15039999999999998</x:v>
      </x:c>
      <x:c r="Q264" s="70" t="n">
        <x:v>0.6924</x:v>
      </x:c>
      <x:c r="R264" s="68" t="n">
        <x:v>0.218</x:v>
      </x:c>
      <x:c r="S264" s="68" t="n">
        <x:v>0.066465</x:v>
      </x:c>
      <x:c r="T264" s="68" t="n">
        <x:v>0.033</x:v>
      </x:c>
      <x:c r="U264" s="68" t="n">
        <x:v>0.1338</x:v>
      </x:c>
      <x:c r="V264" s="71" t="n">
        <x:v>67.07</x:v>
      </x:c>
      <x:c r="W264" s="71" t="n">
        <x:v>62.80782336</x:v>
      </x:c>
      <x:c r="X264" s="71" t="n">
        <x:v>0.15242574</x:v>
      </x:c>
      <x:c r="Y264" s="68" t="n">
        <x:v>0.066</x:v>
      </x:c>
      <x:c r="Z264" s="68" t="n">
        <x:v>0.1081</x:v>
      </x:c>
      <x:c r="AA264" s="68" t="n">
        <x:v>0.029300000000000003</x:v>
      </x:c>
      <x:c r="AB264" s="68" t="n">
        <x:v>1.8769210502110731</x:v>
      </x:c>
      <x:c r="AC264" s="68" t="n">
        <x:v>0.6665000000000001</x:v>
      </x:c>
      <x:c r="AD264" s="60" t="str">
        <x:v>同行估值 100、行业地位 77</x:v>
      </x:c>
      <x:c r="AE264" s="60" t="str">
        <x:v>现金流 31、稳健性 38</x:v>
      </x:c>
    </x:row>
    <x:row r="265" ht="39.599998474121094" hidden="0" customHeight="1">
      <x:c r="A265" s="60" t="str">
        <x:v>历史低估关注</x:v>
      </x:c>
      <x:c r="B265" s="66" t="str">
        <x:v>603214.SH</x:v>
      </x:c>
      <x:c r="C265" s="60" t="str">
        <x:v>爱婴室</x:v>
      </x:c>
      <x:c r="D265" s="60" t="str">
        <x:v>商贸</x:v>
      </x:c>
      <x:c r="E265" s="60" t="str">
        <x:v>专业连锁</x:v>
      </x:c>
      <x:c r="F265" s="60" t="str">
        <x:v>专业连锁</x:v>
      </x:c>
      <x:c r="G265" s="61" t="n">
        <x:v>2</x:v>
      </x:c>
      <x:c r="H265" s="67" t="n">
        <x:v>64.0833</x:v>
      </x:c>
      <x:c r="I265" s="68" t="n">
        <x:v>1</x:v>
      </x:c>
      <x:c r="J265" s="69" t="str">
        <x:v>历史偏低位</x:v>
      </x:c>
      <x:c r="K265" s="69" t="str">
        <x:v>完整</x:v>
      </x:c>
      <x:c r="L265" s="69" t="str">
        <x:v>2026-08-19</x:v>
      </x:c>
      <x:c r="M265" s="69" t="str">
        <x:v>2026-08-24</x:v>
      </x:c>
      <x:c r="N265" s="70" t="n">
        <x:v>13.61</x:v>
      </x:c>
      <x:c r="O265" s="70" t="n">
        <x:v>22.6284</x:v>
      </x:c>
      <x:c r="P265" s="68" t="n">
        <x:v>0.2541</x:v>
      </x:c>
      <x:c r="Q265" s="70" t="n">
        <x:v>1.5859</x:v>
      </x:c>
      <x:c r="R265" s="68" t="n">
        <x:v>0.11349999999999999</x:v>
      </x:c>
      <x:c r="S265" s="68" t="n">
        <x:v>0.028141</x:v>
      </x:c>
      <x:c r="T265" s="68" t="n">
        <x:v>0.11710000000000001</x:v>
      </x:c>
      <x:c r="U265" s="68" t="n">
        <x:v>0.1616</x:v>
      </x:c>
      <x:c r="V265" s="71" t="n">
        <x:v>19.04</x:v>
      </x:c>
      <x:c r="W265" s="71" t="n">
        <x:v>10.56706752</x:v>
      </x:c>
      <x:c r="X265" s="71" t="n">
        <x:v>0.29122024</x:v>
      </x:c>
      <x:c r="Y265" s="68" t="n">
        <x:v>0.10339999999999999</x:v>
      </x:c>
      <x:c r="Z265" s="68" t="n">
        <x:v>0.2621</x:v>
      </x:c>
      <x:c r="AA265" s="68" t="n">
        <x:v>0.0264</x:v>
      </x:c>
      <x:c r="AB265" s="68" t="n">
        <x:v>5.471582332326901</x:v>
      </x:c>
      <x:c r="AC265" s="68" t="n">
        <x:v>0.47759999999999997</x:v>
      </x:c>
      <x:c r="AD265" s="60" t="str">
        <x:v>同行估值 95、现金流 87</x:v>
      </x:c>
      <x:c r="AE265" s="60" t="str">
        <x:v>行业地位 25、稳健性 42</x:v>
      </x:c>
    </x:row>
    <x:row r="266" ht="39.599998474121094" hidden="0" customHeight="1">
      <x:c r="A266" s="60" t="str">
        <x:v>历史低估关注</x:v>
      </x:c>
      <x:c r="B266" s="66" t="str">
        <x:v>603231.SH</x:v>
      </x:c>
      <x:c r="C266" s="60" t="str">
        <x:v>索宝蛋白</x:v>
      </x:c>
      <x:c r="D266" s="60" t="str">
        <x:v>农林牧渔</x:v>
      </x:c>
      <x:c r="E266" s="60" t="str">
        <x:v>农产品加工</x:v>
      </x:c>
      <x:c r="F266" s="60" t="str">
        <x:v>粮油加工</x:v>
      </x:c>
      <x:c r="G266" s="61" t="n">
        <x:v>1</x:v>
      </x:c>
      <x:c r="H266" s="67" t="n">
        <x:v>64</x:v>
      </x:c>
      <x:c r="I266" s="68" t="n">
        <x:v>0.85</x:v>
      </x:c>
      <x:c r="J266" s="69" t="str">
        <x:v>历史偏低位</x:v>
      </x:c>
      <x:c r="K266" s="69" t="str">
        <x:v>部分可用</x:v>
      </x:c>
      <x:c r="L266" s="69" t="str">
        <x:v>2026-08-19</x:v>
      </x:c>
      <x:c r="M266" s="69" t="str">
        <x:v>2026-08-24</x:v>
      </x:c>
      <x:c r="N266" s="70" t="n">
        <x:v>15.91</x:v>
      </x:c>
      <x:c r="O266" s="70" t="n">
        <x:v>17.2076</x:v>
      </x:c>
      <x:c r="P266" s="68" t="n">
        <x:v>0.0764</x:v>
      </x:c>
      <x:c r="Q266" s="70" t="n">
        <x:v>1.5042</x:v>
      </x:c>
      <x:c r="R266" s="68" t="n">
        <x:v>0.0934</x:v>
      </x:c>
      <x:c r="S266" s="68" t="n">
        <x:v>0.023256000000000002</x:v>
      </x:c>
      <x:c r="T266" s="68" t="n">
        <x:v>0.5595</x:v>
      </x:c>
      <x:c r="U266" s="68" t="n">
        <x:v>0.24309999999999998</x:v>
      </x:c>
      <x:c r="V266" s="71" t="n">
        <x:v>30.75</x:v>
      </x:c>
      <x:c r="W266" s="71" t="n">
        <x:v>5.07824352</x:v>
      </x:c>
      <x:c r="X266" s="71" t="n">
        <x:v>0.43028452</x:v>
      </x:c>
      <x:c r="Y266" s="68" t="n">
        <x:v>0.09820000000000001</x:v>
      </x:c>
      <x:c r="Z266" s="68" t="n">
        <x:v>0.1668</x:v>
      </x:c>
      <x:c r="AA266" s="68" t="n">
        <x:v>0.1085</x:v>
      </x:c>
      <x:c r="AB266" s="68" t="n">
        <x:v>4.231646167517251</x:v>
      </x:c>
      <x:c r="AC266" s="68" t="n">
        <x:v>0.1157</x:v>
      </x:c>
      <x:c r="AD266" s="60" t="str">
        <x:v>盈利能力 92、同行估值 82</x:v>
      </x:c>
      <x:c r="AE266" s="60" t="str">
        <x:v>行业地位 32、稳健性 40</x:v>
      </x:c>
    </x:row>
    <x:row r="267" ht="39.599998474121094" hidden="0" customHeight="1">
      <x:c r="A267" s="60" t="str">
        <x:v>历史低估关注</x:v>
      </x:c>
      <x:c r="B267" s="66" t="str">
        <x:v>003027.SZ</x:v>
      </x:c>
      <x:c r="C267" s="60" t="str">
        <x:v>同兴科技</x:v>
      </x:c>
      <x:c r="D267" s="60" t="str">
        <x:v>环保</x:v>
      </x:c>
      <x:c r="E267" s="60" t="str">
        <x:v>环境治理</x:v>
      </x:c>
      <x:c r="F267" s="60" t="str">
        <x:v>大气治理</x:v>
      </x:c>
      <x:c r="G267" s="61" t="n">
        <x:v>2</x:v>
      </x:c>
      <x:c r="H267" s="67" t="n">
        <x:v>63.4583</x:v>
      </x:c>
      <x:c r="I267" s="68" t="n">
        <x:v>1</x:v>
      </x:c>
      <x:c r="J267" s="69" t="str">
        <x:v>历史偏低位</x:v>
      </x:c>
      <x:c r="K267" s="69" t="str">
        <x:v>完整</x:v>
      </x:c>
      <x:c r="L267" s="69" t="str">
        <x:v>2026-08-19</x:v>
      </x:c>
      <x:c r="M267" s="69" t="str">
        <x:v>2026-08-24</x:v>
      </x:c>
      <x:c r="N267" s="70" t="n">
        <x:v>16.14</x:v>
      </x:c>
      <x:c r="O267" s="70" t="n">
        <x:v>29.8289</x:v>
      </x:c>
      <x:c r="P267" s="68" t="n">
        <x:v>0.4277</x:v>
      </x:c>
      <x:c r="Q267" s="70" t="n">
        <x:v>1.2154</x:v>
      </x:c>
      <x:c r="R267" s="68" t="n">
        <x:v>0.19</x:v>
      </x:c>
      <x:c r="S267" s="68" t="n">
        <x:v>0.018587</x:v>
      </x:c>
      <x:c r="T267" s="68" t="n">
        <x:v>0.17600000000000002</x:v>
      </x:c>
      <x:c r="U267" s="68" t="n">
        <x:v>0.2646</x:v>
      </x:c>
      <x:c r="V267" s="71" t="n">
        <x:v>21.6</x:v>
      </x:c>
      <x:c r="W267" s="71" t="n">
        <x:v>1.6172304</x:v>
      </x:c>
      <x:c r="X267" s="71" t="n">
        <x:v>0.12003302</x:v>
      </x:c>
      <x:c r="Y267" s="68" t="n">
        <x:v>0.0431</x:v>
      </x:c>
      <x:c r="Z267" s="68" t="n">
        <x:v>0.2584</x:v>
      </x:c>
      <x:c r="AA267" s="68" t="n">
        <x:v>0.111</x:v>
      </x:c>
      <x:c r="AB267" s="68" t="n">
        <x:v>-5.398537502430582</x:v>
      </x:c>
      <x:c r="AC267" s="68" t="n">
        <x:v>0.2671</x:v>
      </x:c>
      <x:c r="AD267" s="60" t="str">
        <x:v>同行估值 90、盈利能力 90</x:v>
      </x:c>
      <x:c r="AE267" s="60" t="str">
        <x:v>现金流 12、行业地位 53</x:v>
      </x:c>
    </x:row>
    <x:row r="268" ht="39.599998474121094" hidden="0" customHeight="1">
      <x:c r="A268" s="60" t="str">
        <x:v>历史低估关注</x:v>
      </x:c>
      <x:c r="B268" s="66" t="str">
        <x:v>000713.SZ</x:v>
      </x:c>
      <x:c r="C268" s="60" t="str">
        <x:v>国投丰乐</x:v>
      </x:c>
      <x:c r="D268" s="60" t="str">
        <x:v>农林牧渔</x:v>
      </x:c>
      <x:c r="E268" s="60" t="str">
        <x:v>种植业</x:v>
      </x:c>
      <x:c r="F268" s="60" t="str">
        <x:v>种子</x:v>
      </x:c>
      <x:c r="G268" s="61" t="n">
        <x:v>1</x:v>
      </x:c>
      <x:c r="H268" s="67" t="n">
        <x:v>63.25</x:v>
      </x:c>
      <x:c r="I268" s="68" t="n">
        <x:v>1</x:v>
      </x:c>
      <x:c r="J268" s="69" t="str">
        <x:v>历史偏低位</x:v>
      </x:c>
      <x:c r="K268" s="69" t="str">
        <x:v>完整</x:v>
      </x:c>
      <x:c r="L268" s="69" t="str">
        <x:v>2026-08-19</x:v>
      </x:c>
      <x:c r="M268" s="69" t="str">
        <x:v>2026-08-24</x:v>
      </x:c>
      <x:c r="N268" s="70" t="n">
        <x:v>6.05</x:v>
      </x:c>
      <x:c r="O268" s="70" t="n">
        <x:v>80.6776</x:v>
      </x:c>
      <x:c r="P268" s="68" t="n">
        <x:v>0.4058</x:v>
      </x:c>
      <x:c r="Q268" s="70" t="n">
        <x:v>1.5439</x:v>
      </x:c>
      <x:c r="R268" s="68" t="n">
        <x:v>0.0513</x:v>
      </x:c>
      <x:c r="S268" s="68" t="n">
        <x:v>0.004959</x:v>
      </x:c>
      <x:c r="T268" s="68" t="n">
        <x:v>0.0546</x:v>
      </x:c>
      <x:c r="U268" s="68" t="n">
        <x:v>0.17059999999999997</x:v>
      </x:c>
      <x:c r="V268" s="71" t="n">
        <x:v>48.53</x:v>
      </x:c>
      <x:c r="W268" s="71" t="n">
        <x:v>13.77383808</x:v>
      </x:c>
      <x:c r="X268" s="71" t="n">
        <x:v>1.56734896</x:v>
      </x:c>
      <x:c r="Y268" s="68" t="n">
        <x:v>0.032400000000000005</x:v>
      </x:c>
      <x:c r="Z268" s="68" t="n">
        <x:v>0.16469999999999999</x:v>
      </x:c>
      <x:c r="AA268" s="68" t="n">
        <x:v>0.021099999999999997</x:v>
      </x:c>
      <x:c r="AB268" s="68" t="n">
        <x:v>0.9912151279954913</x:v>
      </x:c>
      <x:c r="AC268" s="68" t="n">
        <x:v>0.2969</x:v>
      </x:c>
      <x:c r="AD268" s="60" t="str">
        <x:v>同行估值 81、成长稳定 76</x:v>
      </x:c>
      <x:c r="AE268" s="60" t="str">
        <x:v>盈利能力 28、现金流 62</x:v>
      </x:c>
    </x:row>
    <x:row r="269" ht="39.599998474121094" hidden="0" customHeight="1">
      <x:c r="A269" s="60" t="str">
        <x:v>历史低估关注</x:v>
      </x:c>
      <x:c r="B269" s="66" t="str">
        <x:v>000567.SZ</x:v>
      </x:c>
      <x:c r="C269" s="60" t="str">
        <x:v>海德股份</x:v>
      </x:c>
      <x:c r="D269" s="60" t="str">
        <x:v>非银金融</x:v>
      </x:c>
      <x:c r="E269" s="60" t="str">
        <x:v>多元金融</x:v>
      </x:c>
      <x:c r="F269" s="60" t="str">
        <x:v>其他金融服务</x:v>
      </x:c>
      <x:c r="G269" s="61" t="n">
        <x:v>2</x:v>
      </x:c>
      <x:c r="H269" s="67" t="n">
        <x:v>63.2188</x:v>
      </x:c>
      <x:c r="I269" s="68" t="n">
        <x:v>1</x:v>
      </x:c>
      <x:c r="J269" s="69" t="str">
        <x:v>历史偏低位</x:v>
      </x:c>
      <x:c r="K269" s="69" t="str">
        <x:v>完整</x:v>
      </x:c>
      <x:c r="L269" s="69" t="str">
        <x:v>2026-08-19</x:v>
      </x:c>
      <x:c r="M269" s="69" t="str">
        <x:v>2026-08-24</x:v>
      </x:c>
      <x:c r="N269" s="70" t="n">
        <x:v>5.96</x:v>
      </x:c>
      <x:c r="O269" s="70" t="n">
        <x:v>16.4606</x:v>
      </x:c>
      <x:c r="P269" s="68" t="n">
        <x:v>0.20829999999999999</x:v>
      </x:c>
      <x:c r="Q269" s="70" t="n">
        <x:v>1.9339</x:v>
      </x:c>
      <x:c r="R269" s="68" t="n">
        <x:v>0.1127</x:v>
      </x:c>
      <x:c r="S269" s="68" t="n">
        <x:v>0.074301</x:v>
      </x:c>
      <x:c r="T269" s="68" t="n">
        <x:v>0.1343</x:v>
      </x:c>
      <x:c r="U269" s="68" t="n">
        <x:v>0.1518</x:v>
      </x:c>
      <x:c r="V269" s="71" t="n">
        <x:v>114.73</x:v>
      </x:c>
      <x:c r="W269" s="71" t="n">
        <x:v>2.46276512</x:v>
      </x:c>
      <x:c r="X269" s="71" t="n">
        <x:v>2.14096736</x:v>
      </x:c>
      <x:c r="Y269" s="68" t="n">
        <x:v>0.0711</x:v>
      </x:c>
      <x:c r="Z269" s="68" t="n">
        <x:v>0.9614</x:v>
      </x:c>
      <x:c r="AA269" s="68" t="n">
        <x:v>0.5403</x:v>
      </x:c>
      <x:c r="AB269" s="68" t="n">
        <x:v>-0.1989439577444095</x:v>
      </x:c>
      <x:c r="AC269" s="68" t="n">
        <x:v>0.4217</x:v>
      </x:c>
      <x:c r="AD269" s="60" t="str">
        <x:v>成长稳定 100、稳健性 92</x:v>
      </x:c>
      <x:c r="AE269" s="60" t="str">
        <x:v>现金流 9、行业地位 58</x:v>
      </x:c>
    </x:row>
    <x:row r="270" ht="39.599998474121094" hidden="0" customHeight="1">
      <x:c r="A270" s="60" t="str">
        <x:v>历史低估关注</x:v>
      </x:c>
      <x:c r="B270" s="66" t="str">
        <x:v>300138.SZ</x:v>
      </x:c>
      <x:c r="C270" s="60" t="str">
        <x:v>晨光生物</x:v>
      </x:c>
      <x:c r="D270" s="60" t="str">
        <x:v>农林牧渔</x:v>
      </x:c>
      <x:c r="E270" s="60" t="str">
        <x:v>农产品加工</x:v>
      </x:c>
      <x:c r="F270" s="60" t="str">
        <x:v>其他农产品加工</x:v>
      </x:c>
      <x:c r="G270" s="61" t="n">
        <x:v>1</x:v>
      </x:c>
      <x:c r="H270" s="67" t="n">
        <x:v>63.1333</x:v>
      </x:c>
      <x:c r="I270" s="68" t="n">
        <x:v>1</x:v>
      </x:c>
      <x:c r="J270" s="69" t="str">
        <x:v>历史偏低位</x:v>
      </x:c>
      <x:c r="K270" s="69" t="str">
        <x:v>完整</x:v>
      </x:c>
      <x:c r="L270" s="69" t="str">
        <x:v>2026-08-19</x:v>
      </x:c>
      <x:c r="M270" s="69" t="str">
        <x:v>2026-08-24</x:v>
      </x:c>
      <x:c r="N270" s="70" t="n">
        <x:v>11.07</x:v>
      </x:c>
      <x:c r="O270" s="70" t="n">
        <x:v>15.0175</x:v>
      </x:c>
      <x:c r="P270" s="68" t="n">
        <x:v>0.2259</x:v>
      </x:c>
      <x:c r="Q270" s="70" t="n">
        <x:v>1.5403</x:v>
      </x:c>
      <x:c r="R270" s="68" t="n">
        <x:v>0.221</x:v>
      </x:c>
      <x:c r="S270" s="68" t="n">
        <x:v>0.0271</x:v>
      </x:c>
      <x:c r="T270" s="68" t="n">
        <x:v>0.0412</x:v>
      </x:c>
      <x:c r="U270" s="68" t="n">
        <x:v>0.16269999999999998</x:v>
      </x:c>
      <x:c r="V270" s="71" t="n">
        <x:v>52.95</x:v>
      </x:c>
      <x:c r="W270" s="71" t="n">
        <x:v>15.11789312</x:v>
      </x:c>
      <x:c r="X270" s="71" t="n">
        <x:v>0.65042</x:v>
      </x:c>
      <x:c r="Y270" s="68" t="n">
        <x:v>0.1137</x:v>
      </x:c>
      <x:c r="Z270" s="68" t="n">
        <x:v>0.131</x:v>
      </x:c>
      <x:c r="AA270" s="68" t="n">
        <x:v>0.0572</x:v>
      </x:c>
      <x:c r="AB270" s="68" t="n">
        <x:v>-32.65048331847114</x:v>
      </x:c>
      <x:c r="AC270" s="68" t="n">
        <x:v>0.6382</x:v>
      </x:c>
      <x:c r="AD270" s="60" t="str">
        <x:v>行业地位 88、同行估值 78</x:v>
      </x:c>
      <x:c r="AE270" s="60" t="str">
        <x:v>现金流 0、稳健性 40</x:v>
      </x:c>
    </x:row>
    <x:row r="271" ht="39.599998474121094" hidden="0" customHeight="1">
      <x:c r="A271" s="60" t="str">
        <x:v>历史低估关注</x:v>
      </x:c>
      <x:c r="B271" s="66" t="str">
        <x:v>002807.SZ</x:v>
      </x:c>
      <x:c r="C271" s="60" t="str">
        <x:v>江阴银行</x:v>
      </x:c>
      <x:c r="D271" s="60" t="str">
        <x:v>银行</x:v>
      </x:c>
      <x:c r="E271" s="60" t="str">
        <x:v>地方性银行</x:v>
      </x:c>
      <x:c r="F271" s="60" t="str">
        <x:v>农商行</x:v>
      </x:c>
      <x:c r="G271" s="61" t="n">
        <x:v>1</x:v>
      </x:c>
      <x:c r="H271" s="67" t="n">
        <x:v>63.0645</x:v>
      </x:c>
      <x:c r="I271" s="68" t="n">
        <x:v>1</x:v>
      </x:c>
      <x:c r="J271" s="69" t="str">
        <x:v>历史偏低位</x:v>
      </x:c>
      <x:c r="K271" s="69" t="str">
        <x:v>完整</x:v>
      </x:c>
      <x:c r="L271" s="69" t="str">
        <x:v>2026-08-19</x:v>
      </x:c>
      <x:c r="M271" s="69" t="str">
        <x:v>2026-08-24</x:v>
      </x:c>
      <x:c r="N271" s="70" t="n">
        <x:v>3.95</x:v>
      </x:c>
      <x:c r="O271" s="70" t="n">
        <x:v>5.1957</x:v>
      </x:c>
      <x:c r="P271" s="68" t="n">
        <x:v>0.3419</x:v>
      </x:c>
      <x:c r="Q271" s="70" t="n">
        <x:v>0.5359</x:v>
      </x:c>
      <x:c r="R271" s="68" t="n">
        <x:v>0.1091</x:v>
      </x:c>
      <x:c r="S271" s="68" t="n">
        <x:v>0.055696</x:v>
      </x:c>
      <x:c r="T271" s="68" t="n">
        <x:v>0.1255</x:v>
      </x:c>
      <x:c r="U271" s="68" t="n">
        <x:v>0.19219999999999998</x:v>
      </x:c>
      <x:c r="V271" s="71" t="n">
        <x:v>109.66</x:v>
      </x:c>
      <x:c r="W271" s="71" t="n">
        <x:v>9.21032</x:v>
      </x:c>
      <x:c r="X271" s="71" t="n">
        <x:v>7.71104</x:v>
      </x:c>
      <x:c r="Y271" s="68" t="n">
        <x:v>0.10710000000000001</x:v>
      </x:c>
      <x:c r="Z271" s="68"/>
      <x:c r="AA271" s="68" t="n">
        <x:v>0.4905</x:v>
      </x:c>
      <x:c r="AB271" s="68" t="n">
        <x:v>1.338416068390256</x:v>
      </x:c>
      <x:c r="AC271" s="68" t="n">
        <x:v>0.9096</x:v>
      </x:c>
      <x:c r="AD271" s="60" t="str">
        <x:v>盈利能力 87、稳健性 82</x:v>
      </x:c>
      <x:c r="AE271" s="60" t="str">
        <x:v>行业地位 41、成长稳定 58</x:v>
      </x:c>
    </x:row>
    <x:row r="272" ht="39.599998474121094" hidden="0" customHeight="1">
      <x:c r="A272" s="60" t="str">
        <x:v>历史低估关注</x:v>
      </x:c>
      <x:c r="B272" s="66" t="str">
        <x:v>603551.SH</x:v>
      </x:c>
      <x:c r="C272" s="60" t="str">
        <x:v>奥普科技</x:v>
      </x:c>
      <x:c r="D272" s="60" t="str">
        <x:v>家电</x:v>
      </x:c>
      <x:c r="E272" s="60" t="str">
        <x:v>厨卫电器</x:v>
      </x:c>
      <x:c r="F272" s="60" t="str">
        <x:v>卫浴电器</x:v>
      </x:c>
      <x:c r="G272" s="61" t="n">
        <x:v>1</x:v>
      </x:c>
      <x:c r="H272" s="67" t="n">
        <x:v>63</x:v>
      </x:c>
      <x:c r="I272" s="68" t="n">
        <x:v>1</x:v>
      </x:c>
      <x:c r="J272" s="69" t="str">
        <x:v>历史偏低位</x:v>
      </x:c>
      <x:c r="K272" s="69" t="str">
        <x:v>完整</x:v>
      </x:c>
      <x:c r="L272" s="69" t="str">
        <x:v>2026-08-19</x:v>
      </x:c>
      <x:c r="M272" s="69" t="str">
        <x:v>2026-08-24</x:v>
      </x:c>
      <x:c r="N272" s="70" t="n">
        <x:v>9.45</x:v>
      </x:c>
      <x:c r="O272" s="70" t="n">
        <x:v>12.6389</x:v>
      </x:c>
      <x:c r="P272" s="68" t="n">
        <x:v>0.0365</x:v>
      </x:c>
      <x:c r="Q272" s="70" t="n">
        <x:v>2.5057</x:v>
      </x:c>
      <x:c r="R272" s="68" t="n">
        <x:v>0.3233</x:v>
      </x:c>
      <x:c r="S272" s="68" t="n">
        <x:v>0.089947</x:v>
      </x:c>
      <x:c r="T272" s="68" t="n">
        <x:v>0.1624</x:v>
      </x:c>
      <x:c r="U272" s="68" t="n">
        <x:v>0.1741</x:v>
      </x:c>
      <x:c r="V272" s="71" t="n">
        <x:v>35.51</x:v>
      </x:c>
      <x:c r="W272" s="71" t="n">
        <x:v>6.26622592</x:v>
      </x:c>
      <x:c r="X272" s="71" t="n">
        <x:v>1.1288936</x:v>
      </x:c>
      <x:c r="Y272" s="68" t="n">
        <x:v>0.2141</x:v>
      </x:c>
      <x:c r="Z272" s="68" t="n">
        <x:v>0.45649999999999996</x:v>
      </x:c>
      <x:c r="AA272" s="68" t="n">
        <x:v>0.1564</x:v>
      </x:c>
      <x:c r="AB272" s="68" t="n">
        <x:v>2.465970433351735</x:v>
      </x:c>
      <x:c r="AC272" s="68" t="n">
        <x:v>0.36840000000000006</x:v>
      </x:c>
      <x:c r="AD272" s="60" t="str">
        <x:v>盈利能力 100、稳健性 100</x:v>
      </x:c>
      <x:c r="AE272" s="60" t="str">
        <x:v>行业地位 0、现金流 70</x:v>
      </x:c>
    </x:row>
    <x:row r="273" ht="39.599998474121094" hidden="0" customHeight="1">
      <x:c r="A273" s="60" t="str">
        <x:v>历史低估关注</x:v>
      </x:c>
      <x:c r="B273" s="66" t="str">
        <x:v>002395.SZ</x:v>
      </x:c>
      <x:c r="C273" s="60" t="str">
        <x:v>双象股份</x:v>
      </x:c>
      <x:c r="D273" s="60" t="str">
        <x:v>化工</x:v>
      </x:c>
      <x:c r="E273" s="60" t="str">
        <x:v>塑料</x:v>
      </x:c>
      <x:c r="F273" s="60" t="str">
        <x:v>合成革</x:v>
      </x:c>
      <x:c r="G273" s="61" t="n">
        <x:v>1</x:v>
      </x:c>
      <x:c r="H273" s="67" t="n">
        <x:v>62.4167</x:v>
      </x:c>
      <x:c r="I273" s="68" t="n">
        <x:v>1</x:v>
      </x:c>
      <x:c r="J273" s="69" t="str">
        <x:v>历史偏低位</x:v>
      </x:c>
      <x:c r="K273" s="69" t="str">
        <x:v>完整</x:v>
      </x:c>
      <x:c r="L273" s="69" t="str">
        <x:v>2026-08-19</x:v>
      </x:c>
      <x:c r="M273" s="69" t="str">
        <x:v>2026-08-24</x:v>
      </x:c>
      <x:c r="N273" s="70" t="n">
        <x:v>12.06</x:v>
      </x:c>
      <x:c r="O273" s="70" t="n">
        <x:v>19.6947</x:v>
      </x:c>
      <x:c r="P273" s="68" t="n">
        <x:v>0.2622</x:v>
      </x:c>
      <x:c r="Q273" s="70" t="n">
        <x:v>2.0834</x:v>
      </x:c>
      <x:c r="R273" s="68" t="n">
        <x:v>0.0139</x:v>
      </x:c>
      <x:c r="S273" s="68" t="n">
        <x:v>0.016584</x:v>
      </x:c>
      <x:c r="T273" s="68" t="n">
        <x:v>0.0866</x:v>
      </x:c>
      <x:c r="U273" s="68" t="n">
        <x:v>0.1209</x:v>
      </x:c>
      <x:c r="V273" s="71" t="n">
        <x:v>32.72</x:v>
      </x:c>
      <x:c r="W273" s="71" t="n">
        <x:v>6.61050496</x:v>
      </x:c>
      <x:c r="X273" s="71" t="n">
        <x:v>0.19717828</x:v>
      </x:c>
      <x:c r="Y273" s="68" t="n">
        <x:v>0.1405</x:v>
      </x:c>
      <x:c r="Z273" s="68" t="n">
        <x:v>0.1481</x:v>
      </x:c>
      <x:c r="AA273" s="68" t="n">
        <x:v>0.0785</x:v>
      </x:c>
      <x:c r="AB273" s="68" t="n">
        <x:v>4.136244620857835</x:v>
      </x:c>
      <x:c r="AC273" s="68" t="n">
        <x:v>0.37270000000000003</x:v>
      </x:c>
      <x:c r="AD273" s="60" t="str">
        <x:v>成长稳定 80、行业地位 77</x:v>
      </x:c>
      <x:c r="AE273" s="60" t="str">
        <x:v>现金流 25、稳健性 30</x:v>
      </x:c>
    </x:row>
    <x:row r="274" ht="39.599998474121094" hidden="0" customHeight="1">
      <x:c r="A274" s="60" t="str">
        <x:v>历史低估关注</x:v>
      </x:c>
      <x:c r="B274" s="66" t="str">
        <x:v>601038.SH</x:v>
      </x:c>
      <x:c r="C274" s="60" t="str">
        <x:v>一拖股份</x:v>
      </x:c>
      <x:c r="D274" s="60" t="str">
        <x:v>机械设备</x:v>
      </x:c>
      <x:c r="E274" s="60" t="str">
        <x:v>专用设备</x:v>
      </x:c>
      <x:c r="F274" s="60" t="str">
        <x:v>农用机械</x:v>
      </x:c>
      <x:c r="G274" s="61" t="n">
        <x:v>2</x:v>
      </x:c>
      <x:c r="H274" s="67" t="n">
        <x:v>62.3929</x:v>
      </x:c>
      <x:c r="I274" s="68" t="n">
        <x:v>1</x:v>
      </x:c>
      <x:c r="J274" s="69" t="str">
        <x:v>历史偏低位</x:v>
      </x:c>
      <x:c r="K274" s="69" t="str">
        <x:v>完整</x:v>
      </x:c>
      <x:c r="L274" s="69" t="str">
        <x:v>2026-08-19</x:v>
      </x:c>
      <x:c r="M274" s="69" t="str">
        <x:v>2026-08-24</x:v>
      </x:c>
      <x:c r="N274" s="70" t="n">
        <x:v>12.68</x:v>
      </x:c>
      <x:c r="O274" s="70" t="n">
        <x:v>16.862</x:v>
      </x:c>
      <x:c r="P274" s="68" t="n">
        <x:v>0.2451</x:v>
      </x:c>
      <x:c r="Q274" s="70" t="n">
        <x:v>1.7327</x:v>
      </x:c>
      <x:c r="R274" s="68" t="n">
        <x:v>0.030600000000000002</x:v>
      </x:c>
      <x:c r="S274" s="68" t="n">
        <x:v>0.020899</x:v>
      </x:c>
      <x:c r="T274" s="68" t="n">
        <x:v>0.3455</x:v>
      </x:c>
      <x:c r="U274" s="68" t="n">
        <x:v>0.2071</x:v>
      </x:c>
      <x:c r="V274" s="71" t="n">
        <x:v>145.29</x:v>
      </x:c>
      <x:c r="W274" s="71" t="n">
        <x:v>11.200864</x:v>
      </x:c>
      <x:c r="X274" s="71" t="n">
        <x:v>-1.82233216</x:v>
      </x:c>
      <x:c r="Y274" s="68" t="n">
        <x:v>0.10859999999999999</x:v>
      </x:c>
      <x:c r="Z274" s="68" t="n">
        <x:v>0.1515</x:v>
      </x:c>
      <x:c r="AA274" s="68" t="n">
        <x:v>0.0794</x:v>
      </x:c>
      <x:c r="AB274" s="68" t="n">
        <x:v>0.9610312095902429</x:v>
      </x:c>
      <x:c r="AC274" s="68" t="n">
        <x:v>0.4548</x:v>
      </x:c>
      <x:c r="AD274" s="60" t="str">
        <x:v>同行估值 96、行业地位 70</x:v>
      </x:c>
      <x:c r="AE274" s="60" t="str">
        <x:v>成长稳定 32、稳健性 50</x:v>
      </x:c>
    </x:row>
    <x:row r="275" ht="39.599998474121094" hidden="0" customHeight="1">
      <x:c r="A275" s="60" t="str">
        <x:v>历史低估关注</x:v>
      </x:c>
      <x:c r="B275" s="66" t="str">
        <x:v>601900.SH</x:v>
      </x:c>
      <x:c r="C275" s="60" t="str">
        <x:v>南方传媒</x:v>
      </x:c>
      <x:c r="D275" s="60" t="str">
        <x:v>传媒</x:v>
      </x:c>
      <x:c r="E275" s="60" t="str">
        <x:v>出版业</x:v>
      </x:c>
      <x:c r="F275" s="60" t="str">
        <x:v>教育出版</x:v>
      </x:c>
      <x:c r="G275" s="61" t="n">
        <x:v>2</x:v>
      </x:c>
      <x:c r="H275" s="67" t="n">
        <x:v>62.3125</x:v>
      </x:c>
      <x:c r="I275" s="68" t="n">
        <x:v>1</x:v>
      </x:c>
      <x:c r="J275" s="69" t="str">
        <x:v>历史偏低位</x:v>
      </x:c>
      <x:c r="K275" s="69" t="str">
        <x:v>完整</x:v>
      </x:c>
      <x:c r="L275" s="69" t="str">
        <x:v>2026-08-19</x:v>
      </x:c>
      <x:c r="M275" s="69" t="str">
        <x:v>2026-08-24</x:v>
      </x:c>
      <x:c r="N275" s="70" t="n">
        <x:v>11.84</x:v>
      </x:c>
      <x:c r="O275" s="70" t="n">
        <x:v>10.2074</x:v>
      </x:c>
      <x:c r="P275" s="68" t="n">
        <x:v>0.4081</x:v>
      </x:c>
      <x:c r="Q275" s="70" t="n">
        <x:v>1.1433</x:v>
      </x:c>
      <x:c r="R275" s="68" t="n">
        <x:v>0.3759</x:v>
      </x:c>
      <x:c r="S275" s="68" t="n">
        <x:v>0.047297000000000006</x:v>
      </x:c>
      <x:c r="T275" s="68" t="n">
        <x:v>0.0508</x:v>
      </x:c>
      <x:c r="U275" s="68" t="n">
        <x:v>0.2783</x:v>
      </x:c>
      <x:c r="V275" s="71" t="n">
        <x:v>103.81</x:v>
      </x:c>
      <x:c r="W275" s="71" t="n">
        <x:v>23.5229696</x:v>
      </x:c>
      <x:c r="X275" s="71" t="n">
        <x:v>1.92349376</x:v>
      </x:c>
      <x:c r="Y275" s="68" t="n">
        <x:v>0.1219</x:v>
      </x:c>
      <x:c r="Z275" s="68" t="n">
        <x:v>0.36219999999999997</x:v>
      </x:c>
      <x:c r="AA275" s="68" t="n">
        <x:v>0.138</x:v>
      </x:c>
      <x:c r="AB275" s="68" t="n">
        <x:v>9.42760423615827</x:v>
      </x:c>
      <x:c r="AC275" s="68" t="n">
        <x:v>0.46009999999999995</x:v>
      </x:c>
      <x:c r="AD275" s="60" t="str">
        <x:v>现金流 91、盈利能力 70</x:v>
      </x:c>
      <x:c r="AE275" s="60" t="str">
        <x:v>稳健性 34、同行估值 52</x:v>
      </x:c>
    </x:row>
    <x:row r="276" ht="39.599998474121094" hidden="0" customHeight="1">
      <x:c r="A276" s="60" t="str">
        <x:v>历史低估关注</x:v>
      </x:c>
      <x:c r="B276" s="66" t="str">
        <x:v>300492.SZ</x:v>
      </x:c>
      <x:c r="C276" s="60" t="str">
        <x:v>华图山鼎</x:v>
      </x:c>
      <x:c r="D276" s="60" t="str">
        <x:v>社会服务</x:v>
      </x:c>
      <x:c r="E276" s="60" t="str">
        <x:v>教育培训</x:v>
      </x:c>
      <x:c r="F276" s="60" t="str">
        <x:v>教育培训</x:v>
      </x:c>
      <x:c r="G276" s="61" t="n">
        <x:v>2</x:v>
      </x:c>
      <x:c r="H276" s="67" t="n">
        <x:v>61.4822</x:v>
      </x:c>
      <x:c r="I276" s="68" t="n">
        <x:v>1</x:v>
      </x:c>
      <x:c r="J276" s="69" t="str">
        <x:v>历史偏低位</x:v>
      </x:c>
      <x:c r="K276" s="69" t="str">
        <x:v>完整</x:v>
      </x:c>
      <x:c r="L276" s="69" t="str">
        <x:v>2026-08-19</x:v>
      </x:c>
      <x:c r="M276" s="69" t="str">
        <x:v>2026-08-24</x:v>
      </x:c>
      <x:c r="N276" s="70" t="n">
        <x:v>23.74</x:v>
      </x:c>
      <x:c r="O276" s="70" t="n">
        <x:v>27.1771</x:v>
      </x:c>
      <x:c r="P276" s="68" t="n">
        <x:v>0.011000000000000001</x:v>
      </x:c>
      <x:c r="Q276" s="70" t="n">
        <x:v>25.5786</x:v>
      </x:c>
      <x:c r="R276" s="68" t="n">
        <x:v>0.37549999999999994</x:v>
      </x:c>
      <x:c r="S276" s="68" t="n">
        <x:v>0.025274</x:v>
      </x:c>
      <x:c r="T276" s="68" t="n">
        <x:v>0.011899999999999999</x:v>
      </x:c>
      <x:c r="U276" s="68" t="n">
        <x:v>0.1328</x:v>
      </x:c>
      <x:c r="V276" s="71" t="n">
        <x:v>63.84</x:v>
      </x:c>
      <x:c r="W276" s="71" t="n">
        <x:v>7.33489792</x:v>
      </x:c>
      <x:c r="X276" s="71" t="n">
        <x:v>-0.08499453</x:v>
      </x:c>
      <x:c r="Y276" s="68" t="n">
        <x:v>0.9034</x:v>
      </x:c>
      <x:c r="Z276" s="68" t="n">
        <x:v>0.594</x:v>
      </x:c>
      <x:c r="AA276" s="68" t="n">
        <x:v>0.07519999999999999</x:v>
      </x:c>
      <x:c r="AB276" s="68" t="n">
        <x:v>-2.163826778029127</x:v>
      </x:c>
      <x:c r="AC276" s="68" t="n">
        <x:v>0.9379000000000001</x:v>
      </x:c>
      <x:c r="AD276" s="60" t="str">
        <x:v>盈利能力 82、行业地位 77</x:v>
      </x:c>
      <x:c r="AE276" s="60" t="str">
        <x:v>稳健性 25、同行估值 50</x:v>
      </x:c>
    </x:row>
    <x:row r="277" ht="39.599998474121094" hidden="0" customHeight="1">
      <x:c r="A277" s="60" t="str">
        <x:v>历史低估关注</x:v>
      </x:c>
      <x:c r="B277" s="66" t="str">
        <x:v>301059.SZ</x:v>
      </x:c>
      <x:c r="C277" s="60" t="str">
        <x:v>金三江</x:v>
      </x:c>
      <x:c r="D277" s="60" t="str">
        <x:v>化工</x:v>
      </x:c>
      <x:c r="E277" s="60" t="str">
        <x:v>化学原料</x:v>
      </x:c>
      <x:c r="F277" s="60" t="str">
        <x:v>其他化学原料</x:v>
      </x:c>
      <x:c r="G277" s="61" t="n">
        <x:v>2</x:v>
      </x:c>
      <x:c r="H277" s="67" t="n">
        <x:v>61.0692</x:v>
      </x:c>
      <x:c r="I277" s="68" t="n">
        <x:v>1</x:v>
      </x:c>
      <x:c r="J277" s="69" t="str">
        <x:v>历史偏低位</x:v>
      </x:c>
      <x:c r="K277" s="69" t="str">
        <x:v>完整</x:v>
      </x:c>
      <x:c r="L277" s="69" t="str">
        <x:v>2026-08-19</x:v>
      </x:c>
      <x:c r="M277" s="69" t="str">
        <x:v>2026-08-24</x:v>
      </x:c>
      <x:c r="N277" s="70" t="n">
        <x:v>11.15</x:v>
      </x:c>
      <x:c r="O277" s="70" t="n">
        <x:v>30.812</x:v>
      </x:c>
      <x:c r="P277" s="68" t="n">
        <x:v>0.0121</x:v>
      </x:c>
      <x:c r="Q277" s="70" t="n">
        <x:v>3.9347</x:v>
      </x:c>
      <x:c r="R277" s="68" t="n">
        <x:v>0.19469999999999998</x:v>
      </x:c>
      <x:c r="S277" s="68" t="n">
        <x:v>0.017937</x:v>
      </x:c>
      <x:c r="T277" s="68" t="n">
        <x:v>0.2783</x:v>
      </x:c>
      <x:c r="U277" s="68" t="n">
        <x:v>0.1617</x:v>
      </x:c>
      <x:c r="V277" s="71" t="n">
        <x:v>26.12</x:v>
      </x:c>
      <x:c r="W277" s="71" t="n">
        <x:v>1.25709024</x:v>
      </x:c>
      <x:c r="X277" s="71" t="n">
        <x:v>0.23135156</x:v>
      </x:c>
      <x:c r="Y277" s="68" t="n">
        <x:v>0.1266</x:v>
      </x:c>
      <x:c r="Z277" s="68" t="n">
        <x:v>0.3997</x:v>
      </x:c>
      <x:c r="AA277" s="68" t="n">
        <x:v>0.1705</x:v>
      </x:c>
      <x:c r="AB277" s="68" t="n">
        <x:v>0.6069098042822794</x:v>
      </x:c>
      <x:c r="AC277" s="68" t="n">
        <x:v>0.1923</x:v>
      </x:c>
      <x:c r="AD277" s="60" t="str">
        <x:v>盈利能力 85、成长稳定 80</x:v>
      </x:c>
      <x:c r="AE277" s="60" t="str">
        <x:v>行业地位 29、稳健性 56</x:v>
      </x:c>
    </x:row>
    <x:row r="278" ht="39.599998474121094" hidden="0" customHeight="1">
      <x:c r="A278" s="60" t="str">
        <x:v>历史低估关注</x:v>
      </x:c>
      <x:c r="B278" s="66" t="str">
        <x:v>600927.SH</x:v>
      </x:c>
      <x:c r="C278" s="60" t="str">
        <x:v>永安期货</x:v>
      </x:c>
      <x:c r="D278" s="60" t="str">
        <x:v>非银金融</x:v>
      </x:c>
      <x:c r="E278" s="60" t="str">
        <x:v>多元金融</x:v>
      </x:c>
      <x:c r="F278" s="60" t="str">
        <x:v>期货</x:v>
      </x:c>
      <x:c r="G278" s="61" t="n">
        <x:v>2</x:v>
      </x:c>
      <x:c r="H278" s="67" t="n">
        <x:v>60.9524</x:v>
      </x:c>
      <x:c r="I278" s="68" t="n">
        <x:v>1</x:v>
      </x:c>
      <x:c r="J278" s="69" t="str">
        <x:v>历史偏低位</x:v>
      </x:c>
      <x:c r="K278" s="69" t="str">
        <x:v>完整</x:v>
      </x:c>
      <x:c r="L278" s="69" t="str">
        <x:v>2026-08-19</x:v>
      </x:c>
      <x:c r="M278" s="69" t="str">
        <x:v>2026-08-24</x:v>
      </x:c>
      <x:c r="N278" s="70" t="n">
        <x:v>12.63</x:v>
      </x:c>
      <x:c r="O278" s="70" t="n">
        <x:v>21.8999</x:v>
      </x:c>
      <x:c r="P278" s="68" t="n">
        <x:v>0.0053</x:v>
      </x:c>
      <x:c r="Q278" s="70" t="n">
        <x:v>1.3673</x:v>
      </x:c>
      <x:c r="R278" s="68" t="n">
        <x:v>0.0669</x:v>
      </x:c>
      <x:c r="S278" s="68" t="n">
        <x:v>0.011085000000000001</x:v>
      </x:c>
      <x:c r="T278" s="68" t="n">
        <x:v>0.4728</x:v>
      </x:c>
      <x:c r="U278" s="68" t="n">
        <x:v>0.18170000000000003</x:v>
      </x:c>
      <x:c r="V278" s="71" t="n">
        <x:v>186.38</x:v>
      </x:c>
      <x:c r="W278" s="71" t="n">
        <x:v>-65.04200704</x:v>
      </x:c>
      <x:c r="X278" s="71" t="n">
        <x:v>1.76935136</x:v>
      </x:c>
      <x:c r="Y278" s="68" t="n">
        <x:v>0.0499</x:v>
      </x:c>
      <x:c r="Z278" s="68"/>
      <x:c r="AA278" s="68" t="n">
        <x:v>0.3522</x:v>
      </x:c>
      <x:c r="AB278" s="68" t="n">
        <x:v>44.79040328089499</x:v>
      </x:c>
      <x:c r="AC278" s="68" t="n">
        <x:v>0.8401000000000001</x:v>
      </x:c>
      <x:c r="AD278" s="60" t="str">
        <x:v>稳健性 80、行业地位 70</x:v>
      </x:c>
      <x:c r="AE278" s="60" t="str">
        <x:v>成长稳定 43、盈利能力 48</x:v>
      </x:c>
    </x:row>
    <x:row r="279" ht="39.599998474121094" hidden="0" customHeight="1">
      <x:c r="A279" s="60" t="str">
        <x:v>历史低估关注</x:v>
      </x:c>
      <x:c r="B279" s="66" t="str">
        <x:v>601021.SH</x:v>
      </x:c>
      <x:c r="C279" s="60" t="str">
        <x:v>春秋航空</x:v>
      </x:c>
      <x:c r="D279" s="60" t="str">
        <x:v>交通运输</x:v>
      </x:c>
      <x:c r="E279" s="60" t="str">
        <x:v>航空机场</x:v>
      </x:c>
      <x:c r="F279" s="60" t="str">
        <x:v>航空运输</x:v>
      </x:c>
      <x:c r="G279" s="61" t="n">
        <x:v>2</x:v>
      </x:c>
      <x:c r="H279" s="67" t="n">
        <x:v>60.6633</x:v>
      </x:c>
      <x:c r="I279" s="68" t="n">
        <x:v>1</x:v>
      </x:c>
      <x:c r="J279" s="69" t="str">
        <x:v>历史偏低位</x:v>
      </x:c>
      <x:c r="K279" s="69" t="str">
        <x:v>完整</x:v>
      </x:c>
      <x:c r="L279" s="69" t="str">
        <x:v>2026-08-19</x:v>
      </x:c>
      <x:c r="M279" s="69" t="str">
        <x:v>2026-08-24</x:v>
      </x:c>
      <x:c r="N279" s="70" t="n">
        <x:v>44.14</x:v>
      </x:c>
      <x:c r="O279" s="70" t="n">
        <x:v>16.4629</x:v>
      </x:c>
      <x:c r="P279" s="68" t="n">
        <x:v>0.0051</x:v>
      </x:c>
      <x:c r="Q279" s="70" t="n">
        <x:v>2.3166</x:v>
      </x:c>
      <x:c r="R279" s="68" t="n">
        <x:v>0.0051</x:v>
      </x:c>
      <x:c r="S279" s="68" t="n">
        <x:v>0.021749</x:v>
      </x:c>
      <x:c r="T279" s="68" t="n">
        <x:v>0.3513</x:v>
      </x:c>
      <x:c r="U279" s="68" t="n">
        <x:v>0.12050000000000001</x:v>
      </x:c>
      <x:c r="V279" s="71" t="n">
        <x:v>425.28</x:v>
      </x:c>
      <x:c r="W279" s="71" t="n">
        <x:v>46.86559744</x:v>
      </x:c>
      <x:c r="X279" s="71" t="n">
        <x:v>-0.1811802</x:v>
      </x:c>
      <x:c r="Y279" s="68" t="n">
        <x:v>0.1297</x:v>
      </x:c>
      <x:c r="Z279" s="68" t="n">
        <x:v>0.1359</x:v>
      </x:c>
      <x:c r="AA279" s="68" t="n">
        <x:v>0.10800000000000001</x:v>
      </x:c>
      <x:c r="AB279" s="68" t="n">
        <x:v>-59.70431824228033</x:v>
      </x:c>
      <x:c r="AC279" s="68" t="n">
        <x:v>0.6125</x:v>
      </x:c>
      <x:c r="AD279" s="60" t="str">
        <x:v>同行估值 81、盈利能力 80</x:v>
      </x:c>
      <x:c r="AE279" s="60" t="str">
        <x:v>现金流 27、行业地位 47</x:v>
      </x:c>
    </x:row>
    <x:row r="280" ht="39.599998474121094" hidden="0" customHeight="1">
      <x:c r="A280" s="60" t="str">
        <x:v>历史低估关注</x:v>
      </x:c>
      <x:c r="B280" s="66" t="str">
        <x:v>688475.SH</x:v>
      </x:c>
      <x:c r="C280" s="60" t="str">
        <x:v>萤石网络</x:v>
      </x:c>
      <x:c r="D280" s="60" t="str">
        <x:v>电子</x:v>
      </x:c>
      <x:c r="E280" s="60" t="str">
        <x:v>消费电子</x:v>
      </x:c>
      <x:c r="F280" s="60" t="str">
        <x:v>品牌消费电子</x:v>
      </x:c>
      <x:c r="G280" s="61" t="n">
        <x:v>2</x:v>
      </x:c>
      <x:c r="H280" s="67" t="n">
        <x:v>59.3119</x:v>
      </x:c>
      <x:c r="I280" s="68" t="n">
        <x:v>0.85</x:v>
      </x:c>
      <x:c r="J280" s="69" t="str">
        <x:v>历史偏低位</x:v>
      </x:c>
      <x:c r="K280" s="69" t="str">
        <x:v>完整</x:v>
      </x:c>
      <x:c r="L280" s="69" t="str">
        <x:v>2026-08-19</x:v>
      </x:c>
      <x:c r="M280" s="69" t="str">
        <x:v>2026-08-24</x:v>
      </x:c>
      <x:c r="N280" s="70" t="n">
        <x:v>29.2</x:v>
      </x:c>
      <x:c r="O280" s="70" t="n">
        <x:v>34.1298</x:v>
      </x:c>
      <x:c r="P280" s="68" t="n">
        <x:v>0.0176</x:v>
      </x:c>
      <x:c r="Q280" s="70" t="n">
        <x:v>3.9074</x:v>
      </x:c>
      <x:c r="R280" s="68" t="n">
        <x:v>0.1094</x:v>
      </x:c>
      <x:c r="S280" s="68" t="n">
        <x:v>0.013699</x:v>
      </x:c>
      <x:c r="T280" s="68" t="n">
        <x:v>0.2902</x:v>
      </x:c>
      <x:c r="U280" s="68" t="n">
        <x:v>0.1391</x:v>
      </x:c>
      <x:c r="V280" s="71" t="n">
        <x:v>229.01</x:v>
      </x:c>
      <x:c r="W280" s="71" t="n">
        <x:v>16.08290432</x:v>
      </x:c>
      <x:c r="X280" s="71" t="n">
        <x:v>1.44263936</x:v>
      </x:c>
      <x:c r="Y280" s="68" t="n">
        <x:v>0.1009</x:v>
      </x:c>
      <x:c r="Z280" s="68" t="n">
        <x:v>0.44179999999999997</x:v>
      </x:c>
      <x:c r="AA280" s="68" t="n">
        <x:v>0.096</x:v>
      </x:c>
      <x:c r="AB280" s="68" t="n">
        <x:v>4.230113338929003</x:v>
      </x:c>
      <x:c r="AC280" s="68" t="n">
        <x:v>0.36090000000000005</x:v>
      </x:c>
      <x:c r="AD280" s="60" t="str">
        <x:v>现金流 93、盈利能力 65</x:v>
      </x:c>
      <x:c r="AE280" s="60" t="str">
        <x:v>同行估值 36、稳健性 36</x:v>
      </x:c>
    </x:row>
    <x:row r="281" ht="39.599998474121094" hidden="0" customHeight="1">
      <x:c r="A281" s="60" t="str">
        <x:v>历史低估关注</x:v>
      </x:c>
      <x:c r="B281" s="66" t="str">
        <x:v>002752.SZ</x:v>
      </x:c>
      <x:c r="C281" s="60" t="str">
        <x:v>昇兴股份</x:v>
      </x:c>
      <x:c r="D281" s="60" t="str">
        <x:v>轻工制造</x:v>
      </x:c>
      <x:c r="E281" s="60" t="str">
        <x:v>包装印刷</x:v>
      </x:c>
      <x:c r="F281" s="60" t="str">
        <x:v>金属包装</x:v>
      </x:c>
      <x:c r="G281" s="61" t="n">
        <x:v>2</x:v>
      </x:c>
      <x:c r="H281" s="67" t="n">
        <x:v>59.2167</x:v>
      </x:c>
      <x:c r="I281" s="68" t="n">
        <x:v>1</x:v>
      </x:c>
      <x:c r="J281" s="69" t="str">
        <x:v>历史偏低位</x:v>
      </x:c>
      <x:c r="K281" s="69" t="str">
        <x:v>完整</x:v>
      </x:c>
      <x:c r="L281" s="69" t="str">
        <x:v>2026-08-19</x:v>
      </x:c>
      <x:c r="M281" s="69" t="str">
        <x:v>2026-08-24</x:v>
      </x:c>
      <x:c r="N281" s="70" t="n">
        <x:v>5.83</x:v>
      </x:c>
      <x:c r="O281" s="70" t="n">
        <x:v>15.5705</x:v>
      </x:c>
      <x:c r="P281" s="68" t="n">
        <x:v>0.2757</x:v>
      </x:c>
      <x:c r="Q281" s="70" t="n">
        <x:v>1.5462</x:v>
      </x:c>
      <x:c r="R281" s="68" t="n">
        <x:v>0.1426</x:v>
      </x:c>
      <x:c r="S281" s="68" t="n">
        <x:v>0.017153</x:v>
      </x:c>
      <x:c r="T281" s="68" t="n">
        <x:v>0.2667</x:v>
      </x:c>
      <x:c r="U281" s="68" t="n">
        <x:v>0.22829999999999998</x:v>
      </x:c>
      <x:c r="V281" s="71" t="n">
        <x:v>56.86</x:v>
      </x:c>
      <x:c r="W281" s="71" t="n">
        <x:v>21.03923584</x:v>
      </x:c>
      <x:c r="X281" s="71" t="n">
        <x:v>0.90600464</x:v>
      </x:c>
      <x:c r="Y281" s="68" t="n">
        <x:v>0.0882</x:v>
      </x:c>
      <x:c r="Z281" s="68" t="n">
        <x:v>0.1103</x:v>
      </x:c>
      <x:c r="AA281" s="68" t="n">
        <x:v>0.0425</x:v>
      </x:c>
      <x:c r="AB281" s="68" t="n">
        <x:v>0.1608330394422704</x:v>
      </x:c>
      <x:c r="AC281" s="68" t="n">
        <x:v>0.5407</x:v>
      </x:c>
      <x:c r="AD281" s="60" t="str">
        <x:v>成长稳定 77、同行估值 72</x:v>
      </x:c>
      <x:c r="AE281" s="60" t="str">
        <x:v>现金流 15、稳健性 55</x:v>
      </x:c>
    </x:row>
    <x:row r="282" ht="39.599998474121094" hidden="0" customHeight="1">
      <x:c r="A282" s="60" t="str">
        <x:v>历史低估关注</x:v>
      </x:c>
      <x:c r="B282" s="66" t="str">
        <x:v>000957.SZ</x:v>
      </x:c>
      <x:c r="C282" s="60" t="str">
        <x:v>中通客车</x:v>
      </x:c>
      <x:c r="D282" s="60" t="str">
        <x:v>汽车</x:v>
      </x:c>
      <x:c r="E282" s="60" t="str">
        <x:v>商用车</x:v>
      </x:c>
      <x:c r="F282" s="60" t="str">
        <x:v>商用载客车</x:v>
      </x:c>
      <x:c r="G282" s="61" t="n">
        <x:v>2</x:v>
      </x:c>
      <x:c r="H282" s="67" t="n">
        <x:v>58.625</x:v>
      </x:c>
      <x:c r="I282" s="68" t="n">
        <x:v>1</x:v>
      </x:c>
      <x:c r="J282" s="69" t="str">
        <x:v>历史偏低位</x:v>
      </x:c>
      <x:c r="K282" s="69" t="str">
        <x:v>完整</x:v>
      </x:c>
      <x:c r="L282" s="69" t="str">
        <x:v>2026-08-19</x:v>
      </x:c>
      <x:c r="M282" s="69" t="str">
        <x:v>2026-08-24</x:v>
      </x:c>
      <x:c r="N282" s="70" t="n">
        <x:v>10.25</x:v>
      </x:c>
      <x:c r="O282" s="70" t="n">
        <x:v>15.8827</x:v>
      </x:c>
      <x:c r="P282" s="68" t="n">
        <x:v>0.0433</x:v>
      </x:c>
      <x:c r="Q282" s="70" t="n">
        <x:v>1.8828</x:v>
      </x:c>
      <x:c r="R282" s="68" t="n">
        <x:v>0.2415</x:v>
      </x:c>
      <x:c r="S282" s="68" t="n">
        <x:v>0.009756</x:v>
      </x:c>
      <x:c r="T282" s="68" t="n">
        <x:v>0.1679</x:v>
      </x:c>
      <x:c r="U282" s="68" t="n">
        <x:v>0.1509</x:v>
      </x:c>
      <x:c r="V282" s="71" t="n">
        <x:v>61.31</x:v>
      </x:c>
      <x:c r="W282" s="71" t="n">
        <x:v>16.73600128</x:v>
      </x:c>
      <x:c r="X282" s="71" t="n">
        <x:v>0.82842096</x:v>
      </x:c>
      <x:c r="Y282" s="68" t="n">
        <x:v>0.1159</x:v>
      </x:c>
      <x:c r="Z282" s="68" t="n">
        <x:v>0.17620000000000002</x:v>
      </x:c>
      <x:c r="AA282" s="68" t="n">
        <x:v>0.049100000000000005</x:v>
      </x:c>
      <x:c r="AB282" s="68" t="n">
        <x:v>8.169467464946807</x:v>
      </x:c>
      <x:c r="AC282" s="68" t="n">
        <x:v>0.682</x:v>
      </x:c>
      <x:c r="AD282" s="60" t="str">
        <x:v>现金流 82、盈利能力 65</x:v>
      </x:c>
      <x:c r="AE282" s="60" t="str">
        <x:v>同行估值 45、行业地位 50</x:v>
      </x:c>
    </x:row>
    <x:row r="283" ht="39.599998474121094" hidden="0" customHeight="1">
      <x:c r="A283" s="60" t="str">
        <x:v>历史低估关注</x:v>
      </x:c>
      <x:c r="B283" s="66" t="str">
        <x:v>601333.SH</x:v>
      </x:c>
      <x:c r="C283" s="60" t="str">
        <x:v>广深铁路</x:v>
      </x:c>
      <x:c r="D283" s="60" t="str">
        <x:v>交通运输</x:v>
      </x:c>
      <x:c r="E283" s="60" t="str">
        <x:v>公路铁路</x:v>
      </x:c>
      <x:c r="F283" s="60" t="str">
        <x:v>铁路运输</x:v>
      </x:c>
      <x:c r="G283" s="61" t="n">
        <x:v>2</x:v>
      </x:c>
      <x:c r="H283" s="67" t="n">
        <x:v>58.5119</x:v>
      </x:c>
      <x:c r="I283" s="68" t="n">
        <x:v>1</x:v>
      </x:c>
      <x:c r="J283" s="69" t="str">
        <x:v>历史偏低位</x:v>
      </x:c>
      <x:c r="K283" s="69" t="str">
        <x:v>完整</x:v>
      </x:c>
      <x:c r="L283" s="69" t="str">
        <x:v>2026-08-19</x:v>
      </x:c>
      <x:c r="M283" s="69" t="str">
        <x:v>2026-08-24</x:v>
      </x:c>
      <x:c r="N283" s="70" t="n">
        <x:v>2.93</x:v>
      </x:c>
      <x:c r="O283" s="70" t="n">
        <x:v>13.5015</x:v>
      </x:c>
      <x:c r="P283" s="68" t="n">
        <x:v>0.0146</x:v>
      </x:c>
      <x:c r="Q283" s="70" t="n">
        <x:v>0.7173</x:v>
      </x:c>
      <x:c r="R283" s="68" t="n">
        <x:v>0.41240000000000004</x:v>
      </x:c>
      <x:c r="S283" s="68" t="n">
        <x:v>0.030716999999999998</x:v>
      </x:c>
      <x:c r="T283" s="68" t="n">
        <x:v>0.08130000000000001</x:v>
      </x:c>
      <x:c r="U283" s="68" t="n">
        <x:v>0.16940000000000002</x:v>
      </x:c>
      <x:c r="V283" s="71" t="n">
        <x:v>206.84</x:v>
      </x:c>
      <x:c r="W283" s="71" t="n">
        <x:v>74.52141056</x:v>
      </x:c>
      <x:c r="X283" s="71" t="n">
        <x:v>-0.30477032</x:v>
      </x:c>
      <x:c r="Y283" s="68" t="n">
        <x:v>0.0516</x:v>
      </x:c>
      <x:c r="Z283" s="68" t="n">
        <x:v>0.056299999999999996</x:v>
      </x:c>
      <x:c r="AA283" s="68" t="n">
        <x:v>0.049699999999999994</x:v>
      </x:c>
      <x:c r="AB283" s="68" t="n">
        <x:v>-45.09151731047827</x:v>
      </x:c>
      <x:c r="AC283" s="68" t="n">
        <x:v>0.2353</x:v>
      </x:c>
      <x:c r="AD283" s="60" t="str">
        <x:v>同行估值 83、稳健性 68</x:v>
      </x:c>
      <x:c r="AE283" s="60" t="str">
        <x:v>盈利能力 42、现金流 52</x:v>
      </x:c>
    </x:row>
    <x:row r="284" ht="39.599998474121094" hidden="0" customHeight="1">
      <x:c r="A284" s="60" t="str">
        <x:v>历史低估关注</x:v>
      </x:c>
      <x:c r="B284" s="66" t="str">
        <x:v>002286.SZ</x:v>
      </x:c>
      <x:c r="C284" s="60" t="str">
        <x:v>保龄宝</x:v>
      </x:c>
      <x:c r="D284" s="60" t="str">
        <x:v>食品饮料</x:v>
      </x:c>
      <x:c r="E284" s="60" t="str">
        <x:v>食品加工</x:v>
      </x:c>
      <x:c r="F284" s="60" t="str">
        <x:v>制糖业</x:v>
      </x:c>
      <x:c r="G284" s="61" t="n">
        <x:v>2</x:v>
      </x:c>
      <x:c r="H284" s="67" t="n">
        <x:v>58.3714</x:v>
      </x:c>
      <x:c r="I284" s="68" t="n">
        <x:v>1</x:v>
      </x:c>
      <x:c r="J284" s="69" t="str">
        <x:v>历史偏低位</x:v>
      </x:c>
      <x:c r="K284" s="69" t="str">
        <x:v>完整</x:v>
      </x:c>
      <x:c r="L284" s="69" t="str">
        <x:v>2026-08-19</x:v>
      </x:c>
      <x:c r="M284" s="69" t="str">
        <x:v>2026-08-24</x:v>
      </x:c>
      <x:c r="N284" s="70" t="n">
        <x:v>8.01</x:v>
      </x:c>
      <x:c r="O284" s="70" t="n">
        <x:v>19.712</x:v>
      </x:c>
      <x:c r="P284" s="68" t="n">
        <x:v>0.1127</x:v>
      </x:c>
      <x:c r="Q284" s="70" t="n">
        <x:v>1.3218</x:v>
      </x:c>
      <x:c r="R284" s="68" t="n">
        <x:v>0.1773</x:v>
      </x:c>
      <x:c r="S284" s="68" t="n">
        <x:v>0.014981</x:v>
      </x:c>
      <x:c r="T284" s="68" t="n">
        <x:v>0.10769999999999999</x:v>
      </x:c>
      <x:c r="U284" s="68" t="n">
        <x:v>0.1326</x:v>
      </x:c>
      <x:c r="V284" s="71" t="n">
        <x:v>29.52</x:v>
      </x:c>
      <x:c r="W284" s="71" t="n">
        <x:v>6.24658496</x:v>
      </x:c>
      <x:c r="X284" s="71" t="n">
        <x:v>0.16625033</x:v>
      </x:c>
      <x:c r="Y284" s="68" t="n">
        <x:v>0.0707</x:v>
      </x:c>
      <x:c r="Z284" s="68" t="n">
        <x:v>0.1326</x:v>
      </x:c>
      <x:c r="AA284" s="68" t="n">
        <x:v>0.0548</x:v>
      </x:c>
      <x:c r="AB284" s="68" t="n">
        <x:v>6.094104956062342</x:v>
      </x:c>
      <x:c r="AC284" s="68" t="n">
        <x:v>0.19699999999999998</x:v>
      </x:c>
      <x:c r="AD284" s="60" t="str">
        <x:v>现金流 80、稳健性 74</x:v>
      </x:c>
      <x:c r="AE284" s="60" t="str">
        <x:v>行业地位 30、成长稳定 57</x:v>
      </x:c>
    </x:row>
    <x:row r="285" ht="39.599998474121094" hidden="0" customHeight="1">
      <x:c r="A285" s="60" t="str">
        <x:v>历史低估关注</x:v>
      </x:c>
      <x:c r="B285" s="66" t="str">
        <x:v>603569.SH</x:v>
      </x:c>
      <x:c r="C285" s="60" t="str">
        <x:v>长久物流</x:v>
      </x:c>
      <x:c r="D285" s="60" t="str">
        <x:v>交通运输</x:v>
      </x:c>
      <x:c r="E285" s="60" t="str">
        <x:v>物流</x:v>
      </x:c>
      <x:c r="F285" s="60" t="str">
        <x:v>公路货运</x:v>
      </x:c>
      <x:c r="G285" s="61" t="n">
        <x:v>2</x:v>
      </x:c>
      <x:c r="H285" s="67" t="n">
        <x:v>57.5</x:v>
      </x:c>
      <x:c r="I285" s="68" t="n">
        <x:v>1</x:v>
      </x:c>
      <x:c r="J285" s="69" t="str">
        <x:v>历史偏低位</x:v>
      </x:c>
      <x:c r="K285" s="69" t="str">
        <x:v>完整</x:v>
      </x:c>
      <x:c r="L285" s="69" t="str">
        <x:v>2026-08-19</x:v>
      </x:c>
      <x:c r="M285" s="69" t="str">
        <x:v>2026-08-24</x:v>
      </x:c>
      <x:c r="N285" s="70" t="n">
        <x:v>5.78</x:v>
      </x:c>
      <x:c r="O285" s="70" t="n">
        <x:v>61.0873</x:v>
      </x:c>
      <x:c r="P285" s="68" t="n">
        <x:v>0.3075</x:v>
      </x:c>
      <x:c r="Q285" s="70" t="n">
        <x:v>1.3149</x:v>
      </x:c>
      <x:c r="R285" s="68" t="n">
        <x:v>0.0452</x:v>
      </x:c>
      <x:c r="S285" s="68" t="n">
        <x:v>0.11245699999999999</x:v>
      </x:c>
      <x:c r="T285" s="68" t="n">
        <x:v>0.0432</x:v>
      </x:c>
      <x:c r="U285" s="68" t="n">
        <x:v>0.132</x:v>
      </x:c>
      <x:c r="V285" s="71" t="n">
        <x:v>35.37</x:v>
      </x:c>
      <x:c r="W285" s="71" t="n">
        <x:v>9.72674432</x:v>
      </x:c>
      <x:c r="X285" s="71" t="n">
        <x:v>-1.35862352</x:v>
      </x:c>
      <x:c r="Y285" s="68" t="n">
        <x:v>-0.031</x:v>
      </x:c>
      <x:c r="Z285" s="68" t="n">
        <x:v>0.09970000000000001</x:v>
      </x:c>
      <x:c r="AA285" s="68" t="n">
        <x:v>-0.0183</x:v>
      </x:c>
      <x:c r="AB285" s="68" t="n">
        <x:v>-1.1042192468447771</x:v>
      </x:c>
      <x:c r="AC285" s="68" t="n">
        <x:v>0.508</x:v>
      </x:c>
      <x:c r="AD285" s="60" t="str">
        <x:v>同行估值 100、稳健性 65</x:v>
      </x:c>
      <x:c r="AE285" s="60" t="str">
        <x:v>现金流 40、成长稳定 50</x:v>
      </x:c>
    </x:row>
    <x:row r="286" ht="39.599998474121094" hidden="0" customHeight="1">
      <x:c r="A286" s="60" t="str">
        <x:v>历史低估关注</x:v>
      </x:c>
      <x:c r="B286" s="66" t="str">
        <x:v>600662.SH</x:v>
      </x:c>
      <x:c r="C286" s="60" t="str">
        <x:v>外服控股</x:v>
      </x:c>
      <x:c r="D286" s="60" t="str">
        <x:v>社会服务</x:v>
      </x:c>
      <x:c r="E286" s="60" t="str">
        <x:v>专业服务</x:v>
      </x:c>
      <x:c r="F286" s="60" t="str">
        <x:v>人力资源服务</x:v>
      </x:c>
      <x:c r="G286" s="61" t="n">
        <x:v>2</x:v>
      </x:c>
      <x:c r="H286" s="67" t="n">
        <x:v>57.25</x:v>
      </x:c>
      <x:c r="I286" s="68" t="n">
        <x:v>1</x:v>
      </x:c>
      <x:c r="J286" s="69" t="str">
        <x:v>历史偏低位</x:v>
      </x:c>
      <x:c r="K286" s="69" t="str">
        <x:v>完整</x:v>
      </x:c>
      <x:c r="L286" s="69" t="str">
        <x:v>2026-08-19</x:v>
      </x:c>
      <x:c r="M286" s="69" t="str">
        <x:v>2026-08-24</x:v>
      </x:c>
      <x:c r="N286" s="70" t="n">
        <x:v>4.21</x:v>
      </x:c>
      <x:c r="O286" s="70" t="n">
        <x:v>14.1789</x:v>
      </x:c>
      <x:c r="P286" s="68" t="n">
        <x:v>0.2101</x:v>
      </x:c>
      <x:c r="Q286" s="70" t="n">
        <x:v>1.7729</x:v>
      </x:c>
      <x:c r="R286" s="68" t="n">
        <x:v>0.0177</x:v>
      </x:c>
      <x:c r="S286" s="68" t="n">
        <x:v>0.035629</x:v>
      </x:c>
      <x:c r="T286" s="68" t="n">
        <x:v>0.3012</x:v>
      </x:c>
      <x:c r="U286" s="68" t="n">
        <x:v>0.17629999999999998</x:v>
      </x:c>
      <x:c r="V286" s="71" t="n">
        <x:v>94.99</x:v>
      </x:c>
      <x:c r="W286" s="71" t="n">
        <x:v>55.63762688</x:v>
      </x:c>
      <x:c r="X286" s="71" t="n">
        <x:v>1.31111008</x:v>
      </x:c>
      <x:c r="Y286" s="68" t="n">
        <x:v>0.1277</x:v>
      </x:c>
      <x:c r="Z286" s="68" t="n">
        <x:v>0.08560000000000001</x:v>
      </x:c>
      <x:c r="AA286" s="68" t="n">
        <x:v>0.0321</x:v>
      </x:c>
      <x:c r="AB286" s="68" t="n">
        <x:v>4.73143905658936</x:v>
      </x:c>
      <x:c r="AC286" s="68" t="n">
        <x:v>0.6446</x:v>
      </x:c>
      <x:c r="AD286" s="60" t="str">
        <x:v>现金流 95、行业地位 70</x:v>
      </x:c>
      <x:c r="AE286" s="60" t="str">
        <x:v>同行估值 15、稳健性 30</x:v>
      </x:c>
    </x:row>
    <x:row r="287" ht="39.599998474121094" hidden="0" customHeight="1">
      <x:c r="A287" s="60" t="str">
        <x:v>历史低估关注</x:v>
      </x:c>
      <x:c r="B287" s="66" t="str">
        <x:v>601318.SH</x:v>
      </x:c>
      <x:c r="C287" s="60" t="str">
        <x:v>中国平安</x:v>
      </x:c>
      <x:c r="D287" s="60" t="str">
        <x:v>非银金融</x:v>
      </x:c>
      <x:c r="E287" s="60" t="str">
        <x:v>保险</x:v>
      </x:c>
      <x:c r="F287" s="60" t="str">
        <x:v>保险</x:v>
      </x:c>
      <x:c r="G287" s="61" t="n">
        <x:v>1</x:v>
      </x:c>
      <x:c r="H287" s="67" t="n">
        <x:v>56.5357</x:v>
      </x:c>
      <x:c r="I287" s="68" t="n">
        <x:v>1</x:v>
      </x:c>
      <x:c r="J287" s="69" t="str">
        <x:v>历史偏低位</x:v>
      </x:c>
      <x:c r="K287" s="69" t="str">
        <x:v>完整</x:v>
      </x:c>
      <x:c r="L287" s="69" t="str">
        <x:v>2026-08-19</x:v>
      </x:c>
      <x:c r="M287" s="69" t="str">
        <x:v>2026-08-24</x:v>
      </x:c>
      <x:c r="N287" s="70" t="n">
        <x:v>52.08</x:v>
      </x:c>
      <x:c r="O287" s="70" t="n">
        <x:v>7.1021</x:v>
      </x:c>
      <x:c r="P287" s="68" t="n">
        <x:v>0.0687</x:v>
      </x:c>
      <x:c r="Q287" s="70" t="n">
        <x:v>0.9261</x:v>
      </x:c>
      <x:c r="R287" s="68" t="n">
        <x:v>0.2494</x:v>
      </x:c>
      <x:c r="S287" s="68" t="n">
        <x:v>0.051843</x:v>
      </x:c>
      <x:c r="T287" s="68" t="n">
        <x:v>0.31420000000000003</x:v>
      </x:c>
      <x:c r="U287" s="68" t="n">
        <x:v>0.2108</x:v>
      </x:c>
      <x:c r="V287" s="71" t="n">
        <x:v>9944.72</x:v>
      </x:c>
      <x:c r="W287" s="71" t="n">
        <x:v>2175.660032</x:v>
      </x:c>
      <x:c r="X287" s="71" t="n">
        <x:v>19.22</x:v>
      </x:c>
      <x:c r="Y287" s="68" t="n">
        <x:v>0.14</x:v>
      </x:c>
      <x:c r="Z287" s="68"/>
      <x:c r="AA287" s="68" t="n">
        <x:v>0.1507</x:v>
      </x:c>
      <x:c r="AB287" s="68" t="n">
        <x:v>165.70499702809576</x:v>
      </x:c>
      <x:c r="AC287" s="68" t="n">
        <x:v>0.8981</x:v>
      </x:c>
      <x:c r="AD287" s="60" t="str">
        <x:v>现金流 80、行业地位 75</x:v>
      </x:c>
      <x:c r="AE287" s="60" t="str">
        <x:v>盈利能力 21、成长稳定 38</x:v>
      </x:c>
    </x:row>
    <x:row r="288" ht="39.599998474121094" hidden="0" customHeight="1">
      <x:c r="A288" s="60" t="str">
        <x:v>历史低估关注</x:v>
      </x:c>
      <x:c r="B288" s="66" t="str">
        <x:v>601601.SH</x:v>
      </x:c>
      <x:c r="C288" s="60" t="str">
        <x:v>中国太保</x:v>
      </x:c>
      <x:c r="D288" s="60" t="str">
        <x:v>非银金融</x:v>
      </x:c>
      <x:c r="E288" s="60" t="str">
        <x:v>保险</x:v>
      </x:c>
      <x:c r="F288" s="60" t="str">
        <x:v>保险</x:v>
      </x:c>
      <x:c r="G288" s="61" t="n">
        <x:v>2</x:v>
      </x:c>
      <x:c r="H288" s="67" t="n">
        <x:v>56.4821</x:v>
      </x:c>
      <x:c r="I288" s="68" t="n">
        <x:v>1</x:v>
      </x:c>
      <x:c r="J288" s="69" t="str">
        <x:v>历史偏低位</x:v>
      </x:c>
      <x:c r="K288" s="69" t="str">
        <x:v>完整</x:v>
      </x:c>
      <x:c r="L288" s="69" t="str">
        <x:v>2026-08-19</x:v>
      </x:c>
      <x:c r="M288" s="69" t="str">
        <x:v>2026-08-24</x:v>
      </x:c>
      <x:c r="N288" s="70" t="n">
        <x:v>30.2</x:v>
      </x:c>
      <x:c r="O288" s="70" t="n">
        <x:v>5.3883</x:v>
      </x:c>
      <x:c r="P288" s="68" t="n">
        <x:v>0.0161</x:v>
      </x:c>
      <x:c r="Q288" s="70" t="n">
        <x:v>0.9091</x:v>
      </x:c>
      <x:c r="R288" s="68" t="n">
        <x:v>0.0978</x:v>
      </x:c>
      <x:c r="S288" s="68" t="n">
        <x:v>0.038079</x:v>
      </x:c>
      <x:c r="T288" s="68" t="n">
        <x:v>0.42700000000000005</x:v>
      </x:c>
      <x:c r="U288" s="68" t="n">
        <x:v>0.18030000000000002</x:v>
      </x:c>
      <x:c r="V288" s="71" t="n">
        <x:v>2985.19</x:v>
      </x:c>
      <x:c r="W288" s="71" t="n">
        <x:v>902.5200128</x:v>
      </x:c>
      <x:c r="X288" s="71" t="n">
        <x:v>78.05000192</x:v>
      </x:c>
      <x:c r="Y288" s="68" t="n">
        <x:v>0.18</x:v>
      </x:c>
      <x:c r="Z288" s="68"/>
      <x:c r="AA288" s="68" t="n">
        <x:v>0.1273</x:v>
      </x:c>
      <x:c r="AB288" s="68" t="n">
        <x:v>3.347341381846311</x:v>
      </x:c>
      <x:c r="AC288" s="68" t="n">
        <x:v>0.8937</x:v>
      </x:c>
      <x:c r="AD288" s="60" t="str">
        <x:v>成长稳定 82、同行估值 75</x:v>
      </x:c>
      <x:c r="AE288" s="60" t="str">
        <x:v>现金流 35、盈利能力 39</x:v>
      </x:c>
    </x:row>
    <x:row r="289" ht="39.599998474121094" hidden="0" customHeight="1">
      <x:c r="A289" s="60" t="str">
        <x:v>历史低估关注</x:v>
      </x:c>
      <x:c r="B289" s="66" t="str">
        <x:v>301032.SZ</x:v>
      </x:c>
      <x:c r="C289" s="60" t="str">
        <x:v>新柴股份</x:v>
      </x:c>
      <x:c r="D289" s="60" t="str">
        <x:v>机械设备</x:v>
      </x:c>
      <x:c r="E289" s="60" t="str">
        <x:v>通用设备</x:v>
      </x:c>
      <x:c r="F289" s="60" t="str">
        <x:v>内燃机</x:v>
      </x:c>
      <x:c r="G289" s="61" t="n">
        <x:v>2</x:v>
      </x:c>
      <x:c r="H289" s="67" t="n">
        <x:v>55.75</x:v>
      </x:c>
      <x:c r="I289" s="68" t="n">
        <x:v>1</x:v>
      </x:c>
      <x:c r="J289" s="69" t="str">
        <x:v>历史偏低位</x:v>
      </x:c>
      <x:c r="K289" s="69" t="str">
        <x:v>完整</x:v>
      </x:c>
      <x:c r="L289" s="69" t="str">
        <x:v>2026-08-19</x:v>
      </x:c>
      <x:c r="M289" s="69" t="str">
        <x:v>2026-08-24</x:v>
      </x:c>
      <x:c r="N289" s="70" t="n">
        <x:v>9.87</x:v>
      </x:c>
      <x:c r="O289" s="70" t="n">
        <x:v>21.1997</x:v>
      </x:c>
      <x:c r="P289" s="68" t="n">
        <x:v>0.022099999999999998</x:v>
      </x:c>
      <x:c r="Q289" s="70" t="n">
        <x:v>1.8675</x:v>
      </x:c>
      <x:c r="R289" s="68" t="n">
        <x:v>0.2402</x:v>
      </x:c>
      <x:c r="S289" s="68" t="n">
        <x:v>0.013170999999999999</x:v>
      </x:c>
      <x:c r="T289" s="68" t="n">
        <x:v>0.058899999999999994</x:v>
      </x:c>
      <x:c r="U289" s="68" t="n">
        <x:v>0.10710000000000001</x:v>
      </x:c>
      <x:c r="V289" s="71" t="n">
        <x:v>23.92</x:v>
      </x:c>
      <x:c r="W289" s="71" t="n">
        <x:v>5.29001664</x:v>
      </x:c>
      <x:c r="X289" s="71" t="n">
        <x:v>0.48045128</x:v>
      </x:c>
      <x:c r="Y289" s="68" t="n">
        <x:v>0.0885</x:v>
      </x:c>
      <x:c r="Z289" s="68" t="n">
        <x:v>0.1106</x:v>
      </x:c>
      <x:c r="AA289" s="68" t="n">
        <x:v>0.0452</x:v>
      </x:c>
      <x:c r="AB289" s="68" t="n">
        <x:v>2.3615199443323367</x:v>
      </x:c>
      <x:c r="AC289" s="68" t="n">
        <x:v>0.5575</x:v>
      </x:c>
      <x:c r="AD289" s="60" t="str">
        <x:v>同行估值 85、盈利能力 75</x:v>
      </x:c>
      <x:c r="AE289" s="60" t="str">
        <x:v>现金流 32、行业地位 38</x:v>
      </x:c>
    </x:row>
    <x:row r="290" ht="39.599998474121094" hidden="0" customHeight="1">
      <x:c r="A290" s="60" t="str">
        <x:v>历史低估关注</x:v>
      </x:c>
      <x:c r="B290" s="66" t="str">
        <x:v>300777.SZ</x:v>
      </x:c>
      <x:c r="C290" s="60" t="str">
        <x:v>中简科技</x:v>
      </x:c>
      <x:c r="D290" s="60" t="str">
        <x:v>化工</x:v>
      </x:c>
      <x:c r="E290" s="60" t="str">
        <x:v>化纤</x:v>
      </x:c>
      <x:c r="F290" s="60" t="str">
        <x:v>碳纤维</x:v>
      </x:c>
      <x:c r="G290" s="61" t="n">
        <x:v>2</x:v>
      </x:c>
      <x:c r="H290" s="67" t="n">
        <x:v>55.6667</x:v>
      </x:c>
      <x:c r="I290" s="68" t="n">
        <x:v>1</x:v>
      </x:c>
      <x:c r="J290" s="69" t="str">
        <x:v>历史偏低位</x:v>
      </x:c>
      <x:c r="K290" s="69" t="str">
        <x:v>完整</x:v>
      </x:c>
      <x:c r="L290" s="69" t="str">
        <x:v>2026-08-19</x:v>
      </x:c>
      <x:c r="M290" s="69" t="str">
        <x:v>2026-08-24</x:v>
      </x:c>
      <x:c r="N290" s="70" t="n">
        <x:v>23.39</x:v>
      </x:c>
      <x:c r="O290" s="70" t="n">
        <x:v>46.6651</x:v>
      </x:c>
      <x:c r="P290" s="68" t="n">
        <x:v>0.4604</x:v>
      </x:c>
      <x:c r="Q290" s="70" t="n">
        <x:v>2.2416</x:v>
      </x:c>
      <x:c r="R290" s="68" t="n">
        <x:v>0.0462</x:v>
      </x:c>
      <x:c r="S290" s="68" t="n">
        <x:v>0.009748</x:v>
      </x:c>
      <x:c r="T290" s="68" t="n">
        <x:v>0.061200000000000004</x:v>
      </x:c>
      <x:c r="U290" s="68" t="n">
        <x:v>0.1893</x:v>
      </x:c>
      <x:c r="V290" s="71" t="n">
        <x:v>98.49</x:v>
      </x:c>
      <x:c r="W290" s="71" t="n">
        <x:v>1.61857136</x:v>
      </x:c>
      <x:c r="X290" s="71" t="n">
        <x:v>0.24643636</x:v>
      </x:c>
      <x:c r="Y290" s="68" t="n">
        <x:v>0.0713</x:v>
      </x:c>
      <x:c r="Z290" s="68" t="n">
        <x:v>0.6485</x:v>
      </x:c>
      <x:c r="AA290" s="68" t="n">
        <x:v>0.3714</x:v>
      </x:c>
      <x:c r="AB290" s="68" t="n">
        <x:v>21.252470374095775</x:v>
      </x:c>
      <x:c r="AC290" s="68" t="n">
        <x:v>0.0977</x:v>
      </x:c>
      <x:c r="AD290" s="60" t="str">
        <x:v>现金流 97、盈利能力 87</x:v>
      </x:c>
      <x:c r="AE290" s="60" t="str">
        <x:v>行业地位 13、成长稳定 33</x:v>
      </x:c>
    </x:row>
    <x:row r="291" ht="39.599998474121094" hidden="0" customHeight="1">
      <x:c r="A291" s="60" t="str">
        <x:v>历史低估关注</x:v>
      </x:c>
      <x:c r="B291" s="66" t="str">
        <x:v>000655.SZ</x:v>
      </x:c>
      <x:c r="C291" s="60" t="str">
        <x:v>金岭矿业</x:v>
      </x:c>
      <x:c r="D291" s="60" t="str">
        <x:v>钢铁</x:v>
      </x:c>
      <x:c r="E291" s="60" t="str">
        <x:v>冶钢原料</x:v>
      </x:c>
      <x:c r="F291" s="60" t="str">
        <x:v>铁矿石</x:v>
      </x:c>
      <x:c r="G291" s="61" t="n">
        <x:v>2</x:v>
      </x:c>
      <x:c r="H291" s="67" t="n">
        <x:v>54.575</x:v>
      </x:c>
      <x:c r="I291" s="68" t="n">
        <x:v>1</x:v>
      </x:c>
      <x:c r="J291" s="69" t="str">
        <x:v>历史偏低位</x:v>
      </x:c>
      <x:c r="K291" s="69" t="str">
        <x:v>完整</x:v>
      </x:c>
      <x:c r="L291" s="69" t="str">
        <x:v>2026-08-19</x:v>
      </x:c>
      <x:c r="M291" s="69" t="str">
        <x:v>2026-08-24</x:v>
      </x:c>
      <x:c r="N291" s="70" t="n">
        <x:v>6.8</x:v>
      </x:c>
      <x:c r="O291" s="70" t="n">
        <x:v>15.9311</x:v>
      </x:c>
      <x:c r="P291" s="68" t="n">
        <x:v>0.2148</x:v>
      </x:c>
      <x:c r="Q291" s="70" t="n">
        <x:v>1.1461</x:v>
      </x:c>
      <x:c r="R291" s="68" t="n">
        <x:v>0.1863</x:v>
      </x:c>
      <x:c r="S291" s="68" t="n">
        <x:v>0.033235</x:v>
      </x:c>
      <x:c r="T291" s="68" t="n">
        <x:v>0.0232</x:v>
      </x:c>
      <x:c r="U291" s="68" t="n">
        <x:v>0.1414</x:v>
      </x:c>
      <x:c r="V291" s="71" t="n">
        <x:v>42.03</x:v>
      </x:c>
      <x:c r="W291" s="71" t="n">
        <x:v>4.16279712</x:v>
      </x:c>
      <x:c r="X291" s="71" t="n">
        <x:v>0.47617776</x:v>
      </x:c>
      <x:c r="Y291" s="68" t="n">
        <x:v>0.07769999999999999</x:v>
      </x:c>
      <x:c r="Z291" s="68" t="n">
        <x:v>0.21960000000000002</x:v>
      </x:c>
      <x:c r="AA291" s="68" t="n">
        <x:v>0.16510000000000002</x:v>
      </x:c>
      <x:c r="AB291" s="68" t="n">
        <x:v>1.6844353251609232</x:v>
      </x:c>
      <x:c r="AC291" s="68" t="n">
        <x:v>0.1331</x:v>
      </x:c>
      <x:c r="AD291" s="60" t="str">
        <x:v>稳健性 94、同行估值 82</x:v>
      </x:c>
      <x:c r="AE291" s="60" t="str">
        <x:v>行业地位 24、现金流 35</x:v>
      </x:c>
    </x:row>
    <x:row r="292" ht="39.599998474121094" hidden="0" customHeight="1">
      <x:c r="A292" s="60" t="str">
        <x:v>历史低估关注</x:v>
      </x:c>
      <x:c r="B292" s="66" t="str">
        <x:v>002891.SZ</x:v>
      </x:c>
      <x:c r="C292" s="60" t="str">
        <x:v>中宠股份</x:v>
      </x:c>
      <x:c r="D292" s="60" t="str">
        <x:v>农林牧渔</x:v>
      </x:c>
      <x:c r="E292" s="60" t="str">
        <x:v>饲料</x:v>
      </x:c>
      <x:c r="F292" s="60" t="str">
        <x:v>宠物食品</x:v>
      </x:c>
      <x:c r="G292" s="61" t="n">
        <x:v>2</x:v>
      </x:c>
      <x:c r="H292" s="67" t="n">
        <x:v>53.75</x:v>
      </x:c>
      <x:c r="I292" s="68" t="n">
        <x:v>1</x:v>
      </x:c>
      <x:c r="J292" s="69" t="str">
        <x:v>历史偏低位</x:v>
      </x:c>
      <x:c r="K292" s="69" t="str">
        <x:v>完整</x:v>
      </x:c>
      <x:c r="L292" s="69" t="str">
        <x:v>2026-08-19</x:v>
      </x:c>
      <x:c r="M292" s="69" t="str">
        <x:v>2026-08-24</x:v>
      </x:c>
      <x:c r="N292" s="70" t="n">
        <x:v>29.74</x:v>
      </x:c>
      <x:c r="O292" s="70" t="n">
        <x:v>27.5825</x:v>
      </x:c>
      <x:c r="P292" s="68" t="n">
        <x:v>0.145</x:v>
      </x:c>
      <x:c r="Q292" s="70" t="n">
        <x:v>2.8376</x:v>
      </x:c>
      <x:c r="R292" s="68" t="n">
        <x:v>0.08539999999999999</x:v>
      </x:c>
      <x:c r="S292" s="68" t="n">
        <x:v>0.00538</x:v>
      </x:c>
      <x:c r="T292" s="68" t="n">
        <x:v>0.4429</x:v>
      </x:c>
      <x:c r="U292" s="68" t="n">
        <x:v>0.22440000000000002</x:v>
      </x:c>
      <x:c r="V292" s="71" t="n">
        <x:v>92.64</x:v>
      </x:c>
      <x:c r="W292" s="71" t="n">
        <x:v>13.61563648</x:v>
      </x:c>
      <x:c r="X292" s="71" t="n">
        <x:v>0.31815588</x:v>
      </x:c>
      <x:c r="Y292" s="68" t="n">
        <x:v>0.1346</x:v>
      </x:c>
      <x:c r="Z292" s="68" t="n">
        <x:v>0.2954</x:v>
      </x:c>
      <x:c r="AA292" s="68" t="n">
        <x:v>0.07629999999999999</x:v>
      </x:c>
      <x:c r="AB292" s="68" t="n">
        <x:v>9.430814605720943</x:v>
      </x:c>
      <x:c r="AC292" s="68" t="n">
        <x:v>0.4267</x:v>
      </x:c>
      <x:c r="AD292" s="60" t="str">
        <x:v>成长稳定 72、现金流 70</x:v>
      </x:c>
      <x:c r="AE292" s="60" t="str">
        <x:v>同行估值 23、稳健性 30</x:v>
      </x:c>
    </x:row>
    <x:row r="293" ht="39.599998474121094" hidden="0" customHeight="1">
      <x:c r="A293" s="60" t="str">
        <x:v>历史低估关注</x:v>
      </x:c>
      <x:c r="B293" s="66" t="str">
        <x:v>002098.SZ</x:v>
      </x:c>
      <x:c r="C293" s="60" t="str">
        <x:v>浔兴股份</x:v>
      </x:c>
      <x:c r="D293" s="60" t="str">
        <x:v>纺织服饰</x:v>
      </x:c>
      <x:c r="E293" s="60" t="str">
        <x:v>纺织制造</x:v>
      </x:c>
      <x:c r="F293" s="60" t="str">
        <x:v>辅料</x:v>
      </x:c>
      <x:c r="G293" s="61" t="n">
        <x:v>2</x:v>
      </x:c>
      <x:c r="H293" s="67" t="n">
        <x:v>53.6667</x:v>
      </x:c>
      <x:c r="I293" s="68" t="n">
        <x:v>1</x:v>
      </x:c>
      <x:c r="J293" s="69" t="str">
        <x:v>历史偏低位</x:v>
      </x:c>
      <x:c r="K293" s="69" t="str">
        <x:v>完整</x:v>
      </x:c>
      <x:c r="L293" s="69" t="str">
        <x:v>2026-08-19</x:v>
      </x:c>
      <x:c r="M293" s="69" t="str">
        <x:v>2026-08-24</x:v>
      </x:c>
      <x:c r="N293" s="70" t="n">
        <x:v>7.16</x:v>
      </x:c>
      <x:c r="O293" s="70" t="n">
        <x:v>13.9244</x:v>
      </x:c>
      <x:c r="P293" s="68" t="n">
        <x:v>0.2075</x:v>
      </x:c>
      <x:c r="Q293" s="70" t="n">
        <x:v>1.6851</x:v>
      </x:c>
      <x:c r="R293" s="68" t="n">
        <x:v>0.0678</x:v>
      </x:c>
      <x:c r="S293" s="68" t="n">
        <x:v>0.013966000000000001</x:v>
      </x:c>
      <x:c r="T293" s="68" t="n">
        <x:v>0.24710000000000001</x:v>
      </x:c>
      <x:c r="U293" s="68" t="n">
        <x:v>0.1741</x:v>
      </x:c>
      <x:c r="V293" s="71" t="n">
        <x:v>25.06</x:v>
      </x:c>
      <x:c r="W293" s="71" t="n">
        <x:v>7.3571904</x:v>
      </x:c>
      <x:c r="X293" s="71" t="n">
        <x:v>0.38945436</x:v>
      </x:c>
      <x:c r="Y293" s="68" t="n">
        <x:v>0.1465</x:v>
      </x:c>
      <x:c r="Z293" s="68" t="n">
        <x:v>0.3329</x:v>
      </x:c>
      <x:c r="AA293" s="68" t="n">
        <x:v>0.07400000000000001</x:v>
      </x:c>
      <x:c r="AB293" s="68" t="n">
        <x:v>4.408487402734431</x:v>
      </x:c>
      <x:c r="AC293" s="68" t="n">
        <x:v>0.3396</x:v>
      </x:c>
      <x:c r="AD293" s="60" t="str">
        <x:v>同行估值 80、盈利能力 80</x:v>
      </x:c>
      <x:c r="AE293" s="60" t="str">
        <x:v>成长稳定 10、行业地位 33</x:v>
      </x:c>
    </x:row>
    <x:row r="294" ht="39.599998474121094" hidden="0" customHeight="1">
      <x:c r="A294" s="60" t="str">
        <x:v>历史低估关注</x:v>
      </x:c>
      <x:c r="B294" s="66" t="str">
        <x:v>000532.SZ</x:v>
      </x:c>
      <x:c r="C294" s="60" t="str">
        <x:v>华金资本</x:v>
      </x:c>
      <x:c r="D294" s="60" t="str">
        <x:v>非银金融</x:v>
      </x:c>
      <x:c r="E294" s="60" t="str">
        <x:v>多元金融</x:v>
      </x:c>
      <x:c r="F294" s="60" t="str">
        <x:v>投资管理</x:v>
      </x:c>
      <x:c r="G294" s="61" t="n">
        <x:v>1</x:v>
      </x:c>
      <x:c r="H294" s="67" t="n">
        <x:v>50</x:v>
      </x:c>
      <x:c r="I294" s="68" t="n">
        <x:v>1</x:v>
      </x:c>
      <x:c r="J294" s="69" t="str">
        <x:v>历史偏低位</x:v>
      </x:c>
      <x:c r="K294" s="69" t="str">
        <x:v>完整</x:v>
      </x:c>
      <x:c r="L294" s="69" t="str">
        <x:v>2026-08-19</x:v>
      </x:c>
      <x:c r="M294" s="69" t="str">
        <x:v>2026-08-24</x:v>
      </x:c>
      <x:c r="N294" s="70" t="n">
        <x:v>10.76</x:v>
      </x:c>
      <x:c r="O294" s="70" t="n">
        <x:v>30.6327</x:v>
      </x:c>
      <x:c r="P294" s="68" t="n">
        <x:v>0.5417000000000001</x:v>
      </x:c>
      <x:c r="Q294" s="70" t="n">
        <x:v>2.2863</x:v>
      </x:c>
      <x:c r="R294" s="68" t="n">
        <x:v>0.0204</x:v>
      </x:c>
      <x:c r="S294" s="68" t="n">
        <x:v>0.009294</x:v>
      </x:c>
      <x:c r="T294" s="68" t="n">
        <x:v>0.0207</x:v>
      </x:c>
      <x:c r="U294" s="68" t="n">
        <x:v>0.1943</x:v>
      </x:c>
      <x:c r="V294" s="71" t="n">
        <x:v>38.33</x:v>
      </x:c>
      <x:c r="W294" s="71" t="n">
        <x:v>1.45333424</x:v>
      </x:c>
      <x:c r="X294" s="71" t="n">
        <x:v>0.5989474</x:v>
      </x:c>
      <x:c r="Y294" s="68" t="n">
        <x:v>0.105</x:v>
      </x:c>
      <x:c r="Z294" s="68" t="n">
        <x:v>0.4534</x:v>
      </x:c>
      <x:c r="AA294" s="68" t="n">
        <x:v>0.3477</x:v>
      </x:c>
      <x:c r="AB294" s="68" t="n">
        <x:v>0.27153614824941225</x:v>
      </x:c>
      <x:c r="AC294" s="68" t="n">
        <x:v>0.2809</x:v>
      </x:c>
      <x:c r="AD294" s="60" t="str">
        <x:v>同行估值 50、盈利能力 50</x:v>
      </x:c>
      <x:c r="AE294" s="60" t="str">
        <x:v>现金流 50、稳健性 50</x:v>
      </x:c>
    </x:row>
    <x:row r="295" ht="39.599998474121094" hidden="0" customHeight="1">
      <x:c r="A295" s="60" t="str">
        <x:v>历史低估关注</x:v>
      </x:c>
      <x:c r="B295" s="66" t="str">
        <x:v>002568.SZ</x:v>
      </x:c>
      <x:c r="C295" s="60" t="str">
        <x:v>百润股份</x:v>
      </x:c>
      <x:c r="D295" s="60" t="str">
        <x:v>食品饮料</x:v>
      </x:c>
      <x:c r="E295" s="60" t="str">
        <x:v>酿酒</x:v>
      </x:c>
      <x:c r="F295" s="60" t="str">
        <x:v>其他酒类</x:v>
      </x:c>
      <x:c r="G295" s="61" t="n">
        <x:v>1</x:v>
      </x:c>
      <x:c r="H295" s="67" t="n">
        <x:v>50</x:v>
      </x:c>
      <x:c r="I295" s="68" t="n">
        <x:v>1</x:v>
      </x:c>
      <x:c r="J295" s="69" t="str">
        <x:v>历史偏低位</x:v>
      </x:c>
      <x:c r="K295" s="69" t="str">
        <x:v>完整</x:v>
      </x:c>
      <x:c r="L295" s="69" t="str">
        <x:v>2026-08-19</x:v>
      </x:c>
      <x:c r="M295" s="69" t="str">
        <x:v>2026-08-24</x:v>
      </x:c>
      <x:c r="N295" s="70" t="n">
        <x:v>18.28</x:v>
      </x:c>
      <x:c r="O295" s="70" t="n">
        <x:v>26.1829</x:v>
      </x:c>
      <x:c r="P295" s="68" t="n">
        <x:v>0.1311</x:v>
      </x:c>
      <x:c r="Q295" s="70" t="n">
        <x:v>3.713</x:v>
      </x:c>
      <x:c r="R295" s="68" t="n">
        <x:v>0.0535</x:v>
      </x:c>
      <x:c r="S295" s="68" t="n">
        <x:v>0.016411</x:v>
      </x:c>
      <x:c r="T295" s="68" t="n">
        <x:v>0.391</x:v>
      </x:c>
      <x:c r="U295" s="68" t="n">
        <x:v>0.19190000000000002</x:v>
      </x:c>
      <x:c r="V295" s="71" t="n">
        <x:v>186.45</x:v>
      </x:c>
      <x:c r="W295" s="71" t="n">
        <x:v>6.74179008</x:v>
      </x:c>
      <x:c r="X295" s="71" t="n">
        <x:v>0.8813988</x:v>
      </x:c>
      <x:c r="Y295" s="68" t="n">
        <x:v>0.1328</x:v>
      </x:c>
      <x:c r="Z295" s="68" t="n">
        <x:v>0.6918000000000001</x:v>
      </x:c>
      <x:c r="AA295" s="68" t="n">
        <x:v>0.21660000000000001</x:v>
      </x:c>
      <x:c r="AB295" s="68" t="n">
        <x:v>1.4168260723749566</x:v>
      </x:c>
      <x:c r="AC295" s="68" t="n">
        <x:v>0.4227</x:v>
      </x:c>
      <x:c r="AD295" s="60" t="str">
        <x:v>同行估值 50、盈利能力 50</x:v>
      </x:c>
      <x:c r="AE295" s="60" t="str">
        <x:v>现金流 50、稳健性 50</x:v>
      </x:c>
    </x:row>
    <x:row r="296" ht="39.599998474121094" hidden="0" customHeight="1">
      <x:c r="A296" s="60" t="str">
        <x:v>历史低估关注</x:v>
      </x:c>
      <x:c r="B296" s="66" t="str">
        <x:v>301299.SZ</x:v>
      </x:c>
      <x:c r="C296" s="60" t="str">
        <x:v>卓创资讯</x:v>
      </x:c>
      <x:c r="D296" s="60" t="str">
        <x:v>计算机</x:v>
      </x:c>
      <x:c r="E296" s="60" t="str">
        <x:v>产业互联网</x:v>
      </x:c>
      <x:c r="F296" s="60" t="str">
        <x:v>产联网信息服务</x:v>
      </x:c>
      <x:c r="G296" s="61" t="n">
        <x:v>1</x:v>
      </x:c>
      <x:c r="H296" s="67" t="n">
        <x:v>50</x:v>
      </x:c>
      <x:c r="I296" s="68" t="n">
        <x:v>0.85</x:v>
      </x:c>
      <x:c r="J296" s="69" t="str">
        <x:v>历史偏低位</x:v>
      </x:c>
      <x:c r="K296" s="69" t="str">
        <x:v>完整</x:v>
      </x:c>
      <x:c r="L296" s="69" t="str">
        <x:v>2026-08-19</x:v>
      </x:c>
      <x:c r="M296" s="69" t="str">
        <x:v>2026-08-24</x:v>
      </x:c>
      <x:c r="N296" s="70" t="n">
        <x:v>42.99</x:v>
      </x:c>
      <x:c r="O296" s="70" t="n">
        <x:v>39.702</x:v>
      </x:c>
      <x:c r="P296" s="68" t="n">
        <x:v>0.051</x:v>
      </x:c>
      <x:c r="Q296" s="70" t="n">
        <x:v>4.2836</x:v>
      </x:c>
      <x:c r="R296" s="68" t="n">
        <x:v>0.19260000000000002</x:v>
      </x:c>
      <x:c r="S296" s="68" t="n">
        <x:v>0.034892</x:v>
      </x:c>
      <x:c r="T296" s="68" t="n">
        <x:v>0.3348</x:v>
      </x:c>
      <x:c r="U296" s="68" t="n">
        <x:v>0.1928</x:v>
      </x:c>
      <x:c r="V296" s="71" t="n">
        <x:v>25.89</x:v>
      </x:c>
      <x:c r="W296" s="71" t="n">
        <x:v>0.93274952</x:v>
      </x:c>
      <x:c r="X296" s="71" t="n">
        <x:v>0.16120097</x:v>
      </x:c>
      <x:c r="Y296" s="68" t="n">
        <x:v>0.10769999999999999</x:v>
      </x:c>
      <x:c r="Z296" s="68" t="n">
        <x:v>0.6274000000000001</x:v>
      </x:c>
      <x:c r="AA296" s="68" t="n">
        <x:v>0.1998</x:v>
      </x:c>
      <x:c r="AB296" s="68" t="n">
        <x:v>2.820938360358502</x:v>
      </x:c>
      <x:c r="AC296" s="68" t="n">
        <x:v>0.4082</x:v>
      </x:c>
      <x:c r="AD296" s="60" t="str">
        <x:v>同行估值 50、盈利能力 50</x:v>
      </x:c>
      <x:c r="AE296" s="60" t="str">
        <x:v>现金流 50、稳健性 50</x:v>
      </x:c>
    </x:row>
    <x:row r="297" ht="39.599998474121094" hidden="0" customHeight="1">
      <x:c r="A297" s="60" t="str">
        <x:v>历史低估关注</x:v>
      </x:c>
      <x:c r="B297" s="66" t="str">
        <x:v>002780.SZ</x:v>
      </x:c>
      <x:c r="C297" s="60" t="str">
        <x:v>三夫户外</x:v>
      </x:c>
      <x:c r="D297" s="60" t="str">
        <x:v>纺织服饰</x:v>
      </x:c>
      <x:c r="E297" s="60" t="str">
        <x:v>服装家纺</x:v>
      </x:c>
      <x:c r="F297" s="60" t="str">
        <x:v>运动服装</x:v>
      </x:c>
      <x:c r="G297" s="61" t="n">
        <x:v>2</x:v>
      </x:c>
      <x:c r="H297" s="67" t="n">
        <x:v>46.8691</x:v>
      </x:c>
      <x:c r="I297" s="68" t="n">
        <x:v>1</x:v>
      </x:c>
      <x:c r="J297" s="69" t="str">
        <x:v>历史偏低位</x:v>
      </x:c>
      <x:c r="K297" s="69" t="str">
        <x:v>完整</x:v>
      </x:c>
      <x:c r="L297" s="69" t="str">
        <x:v>2026-08-19</x:v>
      </x:c>
      <x:c r="M297" s="69" t="str">
        <x:v>2026-08-24</x:v>
      </x:c>
      <x:c r="N297" s="70" t="n">
        <x:v>12.87</x:v>
      </x:c>
      <x:c r="O297" s="70" t="n">
        <x:v>29.8316</x:v>
      </x:c>
      <x:c r="P297" s="68" t="n">
        <x:v>0.0537</x:v>
      </x:c>
      <x:c r="Q297" s="70" t="n">
        <x:v>2.5931</x:v>
      </x:c>
      <x:c r="R297" s="68" t="n">
        <x:v>0.20379999999999998</x:v>
      </x:c>
      <x:c r="S297" s="68"/>
      <x:c r="T297" s="68"/>
      <x:c r="U297" s="68" t="n">
        <x:v>0.1288</x:v>
      </x:c>
      <x:c r="V297" s="71" t="n">
        <x:v>21.48</x:v>
      </x:c>
      <x:c r="W297" s="71" t="n">
        <x:v>3.7058128</x:v>
      </x:c>
      <x:c r="X297" s="71" t="n">
        <x:v>0.32136614</x:v>
      </x:c>
      <x:c r="Y297" s="68" t="n">
        <x:v>0.0762</x:v>
      </x:c>
      <x:c r="Z297" s="68" t="n">
        <x:v>0.5916</x:v>
      </x:c>
      <x:c r="AA297" s="68" t="n">
        <x:v>0.04769999999999999</x:v>
      </x:c>
      <x:c r="AB297" s="68" t="n">
        <x:v>2.66194789531965</x:v>
      </x:c>
      <x:c r="AC297" s="68" t="n">
        <x:v>0.3973</x:v>
      </x:c>
      <x:c r="AD297" s="60" t="str">
        <x:v>成长稳定 62、现金流 58</x:v>
      </x:c>
      <x:c r="AE297" s="60" t="str">
        <x:v>稳健性 30、行业地位 30</x:v>
      </x:c>
    </x:row>
    <x:row r="298" ht="39.599998474121094" hidden="0" customHeight="1">
      <x:c r="A298" s="60" t="str">
        <x:v>历史低估关注</x:v>
      </x:c>
      <x:c r="B298" s="66" t="str">
        <x:v>000065.SZ</x:v>
      </x:c>
      <x:c r="C298" s="60" t="str">
        <x:v>北方国际</x:v>
      </x:c>
      <x:c r="D298" s="60" t="str">
        <x:v>建筑</x:v>
      </x:c>
      <x:c r="E298" s="60" t="str">
        <x:v>专业工程</x:v>
      </x:c>
      <x:c r="F298" s="60" t="str">
        <x:v>国际工程</x:v>
      </x:c>
      <x:c r="G298" s="61" t="n">
        <x:v>2</x:v>
      </x:c>
      <x:c r="H298" s="67" t="n">
        <x:v>40.1667</x:v>
      </x:c>
      <x:c r="I298" s="68" t="n">
        <x:v>1</x:v>
      </x:c>
      <x:c r="J298" s="69" t="str">
        <x:v>历史偏低位</x:v>
      </x:c>
      <x:c r="K298" s="69" t="str">
        <x:v>完整</x:v>
      </x:c>
      <x:c r="L298" s="69" t="str">
        <x:v>2026-08-19</x:v>
      </x:c>
      <x:c r="M298" s="69" t="str">
        <x:v>2026-08-24</x:v>
      </x:c>
      <x:c r="N298" s="70" t="n">
        <x:v>8.76</x:v>
      </x:c>
      <x:c r="O298" s="70" t="n">
        <x:v>15.4881</x:v>
      </x:c>
      <x:c r="P298" s="68" t="n">
        <x:v>0.6925</x:v>
      </x:c>
      <x:c r="Q298" s="70" t="n">
        <x:v>0.909</x:v>
      </x:c>
      <x:c r="R298" s="68" t="n">
        <x:v>0.0053</x:v>
      </x:c>
      <x:c r="S298" s="68" t="n">
        <x:v>0.015639</x:v>
      </x:c>
      <x:c r="T298" s="68" t="n">
        <x:v>0.0054</x:v>
      </x:c>
      <x:c r="U298" s="68" t="n">
        <x:v>0.23440000000000003</x:v>
      </x:c>
      <x:c r="V298" s="71" t="n">
        <x:v>115.91</x:v>
      </x:c>
      <x:c r="W298" s="71" t="n">
        <x:v>36.38852096</x:v>
      </x:c>
      <x:c r="X298" s="71" t="n">
        <x:v>2.38670096</x:v>
      </x:c>
      <x:c r="Y298" s="68" t="n">
        <x:v>0.0731</x:v>
      </x:c>
      <x:c r="Z298" s="68" t="n">
        <x:v>0.14279999999999998</x:v>
      </x:c>
      <x:c r="AA298" s="68" t="n">
        <x:v>0.0536</x:v>
      </x:c>
      <x:c r="AB298" s="68" t="n">
        <x:v>0.6324107566454408</x:v>
      </x:c>
      <x:c r="AC298" s="68" t="n">
        <x:v>0.5501</x:v>
      </x:c>
      <x:c r="AD298" s="60" t="str">
        <x:v>稳健性 67、盈利能力 57</x:v>
      </x:c>
      <x:c r="AE298" s="60" t="str">
        <x:v>现金流 20、成长稳定 23</x:v>
      </x:c>
    </x:row>
    <x:row r="299" ht="39.599998474121094" hidden="0" customHeight="1">
      <x:c r="A299" s="60" t="str">
        <x:v>历史低估关注</x:v>
      </x:c>
      <x:c r="B299" s="66" t="str">
        <x:v>000504.SZ</x:v>
      </x:c>
      <x:c r="C299" s="60" t="str">
        <x:v>南华生物</x:v>
      </x:c>
      <x:c r="D299" s="60" t="str">
        <x:v>医药医疗</x:v>
      </x:c>
      <x:c r="E299" s="60" t="str">
        <x:v>医疗服务</x:v>
      </x:c>
      <x:c r="F299" s="60" t="str">
        <x:v>其他医疗服务</x:v>
      </x:c>
      <x:c r="G299" s="61" t="n">
        <x:v>2</x:v>
      </x:c>
      <x:c r="H299" s="67" t="n">
        <x:v>37.0625</x:v>
      </x:c>
      <x:c r="I299" s="68" t="n">
        <x:v>1</x:v>
      </x:c>
      <x:c r="J299" s="69" t="str">
        <x:v>历史偏低位</x:v>
      </x:c>
      <x:c r="K299" s="69" t="str">
        <x:v>完整</x:v>
      </x:c>
      <x:c r="L299" s="69" t="str">
        <x:v>2026-08-19</x:v>
      </x:c>
      <x:c r="M299" s="69" t="str">
        <x:v>2026-08-24</x:v>
      </x:c>
      <x:c r="N299" s="70" t="n">
        <x:v>8.43</x:v>
      </x:c>
      <x:c r="O299" s="70" t="n">
        <x:v>66.0077</x:v>
      </x:c>
      <x:c r="P299" s="68" t="n">
        <x:v>0.1465</x:v>
      </x:c>
      <x:c r="Q299" s="70" t="n">
        <x:v>10.049</x:v>
      </x:c>
      <x:c r="R299" s="68" t="n">
        <x:v>0.1215</x:v>
      </x:c>
      <x:c r="S299" s="68"/>
      <x:c r="T299" s="68"/>
      <x:c r="U299" s="68" t="n">
        <x:v>0.134</x:v>
      </x:c>
      <x:c r="V299" s="71" t="n">
        <x:v>26.86</x:v>
      </x:c>
      <x:c r="W299" s="71" t="n">
        <x:v>3.3250128</x:v>
      </x:c>
      <x:c r="X299" s="71" t="n">
        <x:v>0.23596352</x:v>
      </x:c>
      <x:c r="Y299" s="68" t="n">
        <x:v>0.11460000000000001</x:v>
      </x:c>
      <x:c r="Z299" s="68" t="n">
        <x:v>0.2207</x:v>
      </x:c>
      <x:c r="AA299" s="68" t="n">
        <x:v>0.0434</x:v>
      </x:c>
      <x:c r="AB299" s="68" t="n">
        <x:v>-5.6390170819625</x:v>
      </x:c>
      <x:c r="AC299" s="68" t="n">
        <x:v>0.6395000000000001</x:v>
      </x:c>
      <x:c r="AD299" s="60" t="str">
        <x:v>成长稳定 80、盈利能力 70</x:v>
      </x:c>
      <x:c r="AE299" s="60" t="str">
        <x:v>现金流 6、同行估值 8</x:v>
      </x:c>
    </x:row>
    <x:row r="300" ht="39.599998474121094" hidden="0" customHeight="1">
      <x:c r="A300" s="60" t="str">
        <x:v>历史低估关注</x:v>
      </x:c>
      <x:c r="B300" s="66" t="str">
        <x:v>600318.SH</x:v>
      </x:c>
      <x:c r="C300" s="60" t="str">
        <x:v>新力金融</x:v>
      </x:c>
      <x:c r="D300" s="60" t="str">
        <x:v>非银金融</x:v>
      </x:c>
      <x:c r="E300" s="60" t="str">
        <x:v>多元金融</x:v>
      </x:c>
      <x:c r="F300" s="60" t="str">
        <x:v>非货币银行</x:v>
      </x:c>
      <x:c r="G300" s="61" t="n">
        <x:v>2</x:v>
      </x:c>
      <x:c r="H300" s="67" t="n">
        <x:v>19.375</x:v>
      </x:c>
      <x:c r="I300" s="68" t="n">
        <x:v>1</x:v>
      </x:c>
      <x:c r="J300" s="69" t="str">
        <x:v>历史偏低位</x:v>
      </x:c>
      <x:c r="K300" s="69" t="str">
        <x:v>完整</x:v>
      </x:c>
      <x:c r="L300" s="69" t="str">
        <x:v>2026-08-19</x:v>
      </x:c>
      <x:c r="M300" s="69" t="str">
        <x:v>2026-08-24</x:v>
      </x:c>
      <x:c r="N300" s="70" t="n">
        <x:v>6.33</x:v>
      </x:c>
      <x:c r="O300" s="70" t="n">
        <x:v>76.1993</x:v>
      </x:c>
      <x:c r="P300" s="68" t="n">
        <x:v>0.006</x:v>
      </x:c>
      <x:c r="Q300" s="70" t="n">
        <x:v>2.9255</x:v>
      </x:c>
      <x:c r="R300" s="68" t="n">
        <x:v>0.13419999999999999</x:v>
      </x:c>
      <x:c r="S300" s="68" t="n">
        <x:v>0.00316</x:v>
      </x:c>
      <x:c r="T300" s="68" t="n">
        <x:v>0.162</x:v>
      </x:c>
      <x:c r="U300" s="68" t="n">
        <x:v>0.1007</x:v>
      </x:c>
      <x:c r="V300" s="71" t="n">
        <x:v>33.12</x:v>
      </x:c>
      <x:c r="W300" s="71" t="n">
        <x:v>0.90254008</x:v>
      </x:c>
      <x:c r="X300" s="71" t="n">
        <x:v>-0.041932835</x:v>
      </x:c>
      <x:c r="Y300" s="68" t="n">
        <x:v>0.0332</x:v>
      </x:c>
      <x:c r="Z300" s="68" t="n">
        <x:v>0.8086</x:v>
      </x:c>
      <x:c r="AA300" s="68" t="n">
        <x:v>0.2761</x:v>
      </x:c>
      <x:c r="AB300" s="68" t="n">
        <x:v>8.198662456282767</x:v>
      </x:c>
      <x:c r="AC300" s="68" t="n">
        <x:v>0.5232</x:v>
      </x:c>
      <x:c r="AD300" s="60" t="str">
        <x:v>稳健性 70、现金流 62</x:v>
      </x:c>
      <x:c r="AE300" s="60" t="str">
        <x:v>成长稳定 0、行业地位 0</x:v>
      </x:c>
    </x:row>
    <x:row r="301" ht="39.599998474121094" hidden="0" customHeight="1">
      <x:c r="A301" s="60" t="str">
        <x:v>历史低估关注</x:v>
      </x:c>
      <x:c r="B301" s="66" t="str">
        <x:v>600640.SH</x:v>
      </x:c>
      <x:c r="C301" s="60" t="str">
        <x:v>国脉文化</x:v>
      </x:c>
      <x:c r="D301" s="60" t="str">
        <x:v>传媒</x:v>
      </x:c>
      <x:c r="E301" s="60" t="str">
        <x:v>数字媒体</x:v>
      </x:c>
      <x:c r="F301" s="60" t="str">
        <x:v>视频音频媒体</x:v>
      </x:c>
      <x:c r="G301" s="61" t="n">
        <x:v>2</x:v>
      </x:c>
      <x:c r="H301" s="67" t="n">
        <x:v>11.5</x:v>
      </x:c>
      <x:c r="I301" s="68" t="n">
        <x:v>1</x:v>
      </x:c>
      <x:c r="J301" s="69" t="str">
        <x:v>历史偏低位</x:v>
      </x:c>
      <x:c r="K301" s="69" t="str">
        <x:v>完整</x:v>
      </x:c>
      <x:c r="L301" s="69" t="str">
        <x:v>2026-08-19</x:v>
      </x:c>
      <x:c r="M301" s="69" t="str">
        <x:v>2026-08-24</x:v>
      </x:c>
      <x:c r="N301" s="70" t="n">
        <x:v>10.42</x:v>
      </x:c>
      <x:c r="O301" s="70" t="n">
        <x:v>349.8505</x:v>
      </x:c>
      <x:c r="P301" s="68" t="n">
        <x:v>0.24230000000000002</x:v>
      </x:c>
      <x:c r="Q301" s="70" t="n">
        <x:v>2.0737</x:v>
      </x:c>
      <x:c r="R301" s="68" t="n">
        <x:v>0.3091</x:v>
      </x:c>
      <x:c r="S301" s="68" t="n">
        <x:v>0.001727</x:v>
      </x:c>
      <x:c r="T301" s="68" t="n">
        <x:v>0.0060999999999999995</x:v>
      </x:c>
      <x:c r="U301" s="68" t="n">
        <x:v>0.1858</x:v>
      </x:c>
      <x:c r="V301" s="71" t="n">
        <x:v>82.64</x:v>
      </x:c>
      <x:c r="W301" s="71" t="n">
        <x:v>5.25702176</x:v>
      </x:c>
      <x:c r="X301" s="71" t="n">
        <x:v>0.0191566138</x:v>
      </x:c>
      <x:c r="Y301" s="68" t="n">
        <x:v>0.0054</x:v>
      </x:c>
      <x:c r="Z301" s="68" t="n">
        <x:v>0.1782</x:v>
      </x:c>
      <x:c r="AA301" s="68" t="n">
        <x:v>0.0101</x:v>
      </x:c>
      <x:c r="AB301" s="68" t="n">
        <x:v>22.39298471424005</x:v>
      </x:c>
      <x:c r="AC301" s="68" t="n">
        <x:v>0.19870000000000002</x:v>
      </x:c>
      <x:c r="AD301" s="60" t="str">
        <x:v>稳健性 70、现金流 30</x:v>
      </x:c>
      <x:c r="AE301" s="60" t="str">
        <x:v>成长稳定 0、行业地位 0</x:v>
      </x:c>
    </x:row>
  </x:sheetData>
  <x:mergeCells>
    <x:mergeCell ref="A1:AE1"/>
    <x:mergeCell ref="A2:AE2"/>
  </x:mergeCells>
  <x:conditionalFormatting sqref="A5:A301">
    <x:cfRule type="containsText" dxfId="0" priority="1" operator="containsText" text="历史深度低估"/>
    <x:cfRule type="containsText" dxfId="1" priority="2" operator="containsText" text="历史低估关注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26" hidden="0" customWidth="1"/>
    <x:col min="5" max="5" width="24" hidden="0" customWidth="1"/>
    <x:col min="6" max="6" width="30" hidden="0" customWidth="1"/>
    <x:col min="7" max="7" width="45" hidden="0" customWidth="1"/>
  </x:cols>
  <x:sheetData>
    <x:row r="1" ht="28" customHeight="1">
      <x:c r="A1" s="74" t="str">
        <x:v>技术审计：原始状态与数据来源</x:v>
      </x:c>
      <x:c r="B1" s="74"/>
      <x:c r="C1" s="74"/>
      <x:c r="D1" s="74"/>
      <x:c r="E1" s="74"/>
      <x:c r="F1" s="74"/>
      <x:c r="G1" s="74"/>
    </x:row>
    <x:row r="2">
      <x:c r="A2" s="77" t="str">
        <x:v>本页保留系统原始代码、公式版本与数据源，供核验使用；日常看名单请使用“低估龙头”工作表。</x:v>
      </x:c>
      <x:c r="B2" s="77"/>
      <x:c r="C2" s="77"/>
      <x:c r="D2" s="77"/>
      <x:c r="E2" s="77"/>
      <x:c r="F2" s="77"/>
      <x:c r="G2" s="77"/>
    </x:row>
    <x:row r="4" ht="15" hidden="0" customHeight="1">
      <x:c r="A4" s="81" t="str">
        <x:v>股票代码</x:v>
      </x:c>
      <x:c r="B4" s="81" t="str">
        <x:v>公司名称</x:v>
      </x:c>
      <x:c r="C4" s="81" t="str">
        <x:v>展示分类</x:v>
      </x:c>
      <x:c r="D4" s="81" t="str">
        <x:v>历史估值原始状态</x:v>
      </x:c>
      <x:c r="E4" s="81" t="str">
        <x:v>历史估值覆盖状态</x:v>
      </x:c>
      <x:c r="F4" s="81" t="str">
        <x:v>估值公式版本</x:v>
      </x:c>
      <x:c r="G4" s="81" t="str">
        <x:v>原始数据来源</x:v>
      </x:c>
    </x:row>
    <x:row r="5" ht="15" hidden="0" customHeight="1">
      <x:c r="A5" s="83" t="str">
        <x:v>600970.SH</x:v>
      </x:c>
      <x:c r="B5" s="82" t="str">
        <x:v>中材国际</x:v>
      </x:c>
      <x:c r="C5" s="82" t="str">
        <x:v>历史深度低估</x:v>
      </x:c>
      <x:c r="D5" s="82" t="str">
        <x:v>VERY_CHEAP</x:v>
      </x:c>
      <x:c r="E5" s="82" t="str">
        <x:v>READY</x:v>
      </x:c>
      <x:c r="F5" s="82" t="str">
        <x:v>historical-valuation-v1.0.0</x:v>
      </x:c>
      <x:c r="G5" s="82" t="str">
        <x:v>TongDaXin historical PE/PB/dividend-yield cache</x:v>
      </x:c>
    </x:row>
    <x:row r="6" ht="15" hidden="0" customHeight="1">
      <x:c r="A6" s="83" t="str">
        <x:v>000786.SZ</x:v>
      </x:c>
      <x:c r="B6" s="82" t="str">
        <x:v>北新建材</x:v>
      </x:c>
      <x:c r="C6" s="82" t="str">
        <x:v>历史深度低估</x:v>
      </x:c>
      <x:c r="D6" s="82" t="str">
        <x:v>VERY_CHEAP</x:v>
      </x:c>
      <x:c r="E6" s="82" t="str">
        <x:v>READY</x:v>
      </x:c>
      <x:c r="F6" s="82" t="str">
        <x:v>historical-valuation-v1.0.0</x:v>
      </x:c>
      <x:c r="G6" s="82" t="str">
        <x:v>TongDaXin historical PE/PB/dividend-yield cache</x:v>
      </x:c>
    </x:row>
    <x:row r="7" ht="15" hidden="0" customHeight="1">
      <x:c r="A7" s="83" t="str">
        <x:v>600874.SH</x:v>
      </x:c>
      <x:c r="B7" s="82" t="str">
        <x:v>创业环保</x:v>
      </x:c>
      <x:c r="C7" s="82" t="str">
        <x:v>历史深度低估</x:v>
      </x:c>
      <x:c r="D7" s="82" t="str">
        <x:v>VERY_CHEAP</x:v>
      </x:c>
      <x:c r="E7" s="82" t="str">
        <x:v>READY</x:v>
      </x:c>
      <x:c r="F7" s="82" t="str">
        <x:v>historical-valuation-v1.0.0</x:v>
      </x:c>
      <x:c r="G7" s="82" t="str">
        <x:v>TongDaXin historical PE/PB/dividend-yield cache</x:v>
      </x:c>
    </x:row>
    <x:row r="8" ht="15" hidden="0" customHeight="1">
      <x:c r="A8" s="83" t="str">
        <x:v>300015.SZ</x:v>
      </x:c>
      <x:c r="B8" s="82" t="str">
        <x:v>爱尔眼科</x:v>
      </x:c>
      <x:c r="C8" s="82" t="str">
        <x:v>历史深度低估</x:v>
      </x:c>
      <x:c r="D8" s="82" t="str">
        <x:v>VERY_CHEAP</x:v>
      </x:c>
      <x:c r="E8" s="82" t="str">
        <x:v>READY</x:v>
      </x:c>
      <x:c r="F8" s="82" t="str">
        <x:v>historical-valuation-v1.0.0</x:v>
      </x:c>
      <x:c r="G8" s="82" t="str">
        <x:v>TongDaXin historical PE/PB/dividend-yield cache</x:v>
      </x:c>
    </x:row>
    <x:row r="9" ht="15" hidden="0" customHeight="1">
      <x:c r="A9" s="83" t="str">
        <x:v>300470.SZ</x:v>
      </x:c>
      <x:c r="B9" s="82" t="str">
        <x:v>中密控股</x:v>
      </x:c>
      <x:c r="C9" s="82" t="str">
        <x:v>历史深度低估</x:v>
      </x:c>
      <x:c r="D9" s="82" t="str">
        <x:v>VERY_CHEAP</x:v>
      </x:c>
      <x:c r="E9" s="82" t="str">
        <x:v>READY</x:v>
      </x:c>
      <x:c r="F9" s="82" t="str">
        <x:v>historical-valuation-v1.0.0</x:v>
      </x:c>
      <x:c r="G9" s="82" t="str">
        <x:v>TongDaXin historical PE/PB/dividend-yield cache</x:v>
      </x:c>
    </x:row>
    <x:row r="10" ht="15" hidden="0" customHeight="1">
      <x:c r="A10" s="83" t="str">
        <x:v>300144.SZ</x:v>
      </x:c>
      <x:c r="B10" s="82" t="str">
        <x:v>宋城演艺</x:v>
      </x:c>
      <x:c r="C10" s="82" t="str">
        <x:v>历史深度低估</x:v>
      </x:c>
      <x:c r="D10" s="82" t="str">
        <x:v>VERY_CHEAP</x:v>
      </x:c>
      <x:c r="E10" s="82" t="str">
        <x:v>READY</x:v>
      </x:c>
      <x:c r="F10" s="82" t="str">
        <x:v>historical-valuation-v1.0.0</x:v>
      </x:c>
      <x:c r="G10" s="82" t="str">
        <x:v>TongDaXin historical PE/PB/dividend-yield cache</x:v>
      </x:c>
    </x:row>
    <x:row r="11" ht="15" hidden="0" customHeight="1">
      <x:c r="A11" s="83" t="str">
        <x:v>002311.SZ</x:v>
      </x:c>
      <x:c r="B11" s="82" t="str">
        <x:v>海大集团</x:v>
      </x:c>
      <x:c r="C11" s="82" t="str">
        <x:v>历史深度低估</x:v>
      </x:c>
      <x:c r="D11" s="82" t="str">
        <x:v>VERY_CHEAP</x:v>
      </x:c>
      <x:c r="E11" s="82" t="str">
        <x:v>READY</x:v>
      </x:c>
      <x:c r="F11" s="82" t="str">
        <x:v>historical-valuation-v1.0.0</x:v>
      </x:c>
      <x:c r="G11" s="82" t="str">
        <x:v>TongDaXin historical PE/PB/dividend-yield cache</x:v>
      </x:c>
    </x:row>
    <x:row r="12" ht="15" hidden="0" customHeight="1">
      <x:c r="A12" s="83" t="str">
        <x:v>300910.SZ</x:v>
      </x:c>
      <x:c r="B12" s="82" t="str">
        <x:v>瑞丰新材</x:v>
      </x:c>
      <x:c r="C12" s="82" t="str">
        <x:v>历史深度低估</x:v>
      </x:c>
      <x:c r="D12" s="82" t="str">
        <x:v>VERY_CHEAP</x:v>
      </x:c>
      <x:c r="E12" s="82" t="str">
        <x:v>READY</x:v>
      </x:c>
      <x:c r="F12" s="82" t="str">
        <x:v>historical-valuation-v1.0.0</x:v>
      </x:c>
      <x:c r="G12" s="82" t="str">
        <x:v>TongDaXin historical PE/PB/dividend-yield cache</x:v>
      </x:c>
    </x:row>
    <x:row r="13" ht="15" hidden="0" customHeight="1">
      <x:c r="A13" s="83" t="str">
        <x:v>601965.SH</x:v>
      </x:c>
      <x:c r="B13" s="82" t="str">
        <x:v>中国汽研</x:v>
      </x:c>
      <x:c r="C13" s="82" t="str">
        <x:v>历史深度低估</x:v>
      </x:c>
      <x:c r="D13" s="82" t="str">
        <x:v>VERY_CHEAP</x:v>
      </x:c>
      <x:c r="E13" s="82" t="str">
        <x:v>READY</x:v>
      </x:c>
      <x:c r="F13" s="82" t="str">
        <x:v>historical-valuation-v1.0.0</x:v>
      </x:c>
      <x:c r="G13" s="82" t="str">
        <x:v>TongDaXin historical PE/PB/dividend-yield cache</x:v>
      </x:c>
    </x:row>
    <x:row r="14" ht="15" hidden="0" customHeight="1">
      <x:c r="A14" s="83" t="str">
        <x:v>688278.SH</x:v>
      </x:c>
      <x:c r="B14" s="82" t="str">
        <x:v>特宝生物</x:v>
      </x:c>
      <x:c r="C14" s="82" t="str">
        <x:v>历史深度低估</x:v>
      </x:c>
      <x:c r="D14" s="82" t="str">
        <x:v>VERY_CHEAP</x:v>
      </x:c>
      <x:c r="E14" s="82" t="str">
        <x:v>READY</x:v>
      </x:c>
      <x:c r="F14" s="82" t="str">
        <x:v>historical-valuation-v1.0.0</x:v>
      </x:c>
      <x:c r="G14" s="82" t="str">
        <x:v>TongDaXin historical PE/PB/dividend-yield cache</x:v>
      </x:c>
    </x:row>
    <x:row r="15" ht="15" hidden="0" customHeight="1">
      <x:c r="A15" s="83" t="str">
        <x:v>002690.SZ</x:v>
      </x:c>
      <x:c r="B15" s="82" t="str">
        <x:v>美亚光电</x:v>
      </x:c>
      <x:c r="C15" s="82" t="str">
        <x:v>历史深度低估</x:v>
      </x:c>
      <x:c r="D15" s="82" t="str">
        <x:v>VERY_CHEAP</x:v>
      </x:c>
      <x:c r="E15" s="82" t="str">
        <x:v>READY</x:v>
      </x:c>
      <x:c r="F15" s="82" t="str">
        <x:v>historical-valuation-v1.0.0</x:v>
      </x:c>
      <x:c r="G15" s="82" t="str">
        <x:v>TongDaXin historical PE/PB/dividend-yield cache</x:v>
      </x:c>
    </x:row>
    <x:row r="16" ht="15" hidden="0" customHeight="1">
      <x:c r="A16" s="83" t="str">
        <x:v>688111.SH</x:v>
      </x:c>
      <x:c r="B16" s="82" t="str">
        <x:v>金山办公</x:v>
      </x:c>
      <x:c r="C16" s="82" t="str">
        <x:v>历史深度低估</x:v>
      </x:c>
      <x:c r="D16" s="82" t="str">
        <x:v>VERY_CHEAP</x:v>
      </x:c>
      <x:c r="E16" s="82" t="str">
        <x:v>READY</x:v>
      </x:c>
      <x:c r="F16" s="82" t="str">
        <x:v>historical-valuation-v1.0.0</x:v>
      </x:c>
      <x:c r="G16" s="82" t="str">
        <x:v>TongDaXin historical PE/PB/dividend-yield cache</x:v>
      </x:c>
    </x:row>
    <x:row r="17" ht="15" hidden="0" customHeight="1">
      <x:c r="A17" s="83" t="str">
        <x:v>600519.SH</x:v>
      </x:c>
      <x:c r="B17" s="82" t="str">
        <x:v>贵州茅台</x:v>
      </x:c>
      <x:c r="C17" s="82" t="str">
        <x:v>历史深度低估</x:v>
      </x:c>
      <x:c r="D17" s="82" t="str">
        <x:v>VERY_CHEAP</x:v>
      </x:c>
      <x:c r="E17" s="82" t="str">
        <x:v>READY</x:v>
      </x:c>
      <x:c r="F17" s="82" t="str">
        <x:v>historical-valuation-v1.0.0</x:v>
      </x:c>
      <x:c r="G17" s="82" t="str">
        <x:v>TongDaXin historical PE/PB/dividend-yield cache</x:v>
      </x:c>
    </x:row>
    <x:row r="18" ht="15" hidden="0" customHeight="1">
      <x:c r="A18" s="83" t="str">
        <x:v>603605.SH</x:v>
      </x:c>
      <x:c r="B18" s="82" t="str">
        <x:v>珀莱雅</x:v>
      </x:c>
      <x:c r="C18" s="82" t="str">
        <x:v>历史深度低估</x:v>
      </x:c>
      <x:c r="D18" s="82" t="str">
        <x:v>VERY_CHEAP</x:v>
      </x:c>
      <x:c r="E18" s="82" t="str">
        <x:v>READY</x:v>
      </x:c>
      <x:c r="F18" s="82" t="str">
        <x:v>historical-valuation-v1.0.0</x:v>
      </x:c>
      <x:c r="G18" s="82" t="str">
        <x:v>TongDaXin historical PE/PB/dividend-yield cache</x:v>
      </x:c>
    </x:row>
    <x:row r="19" ht="15" hidden="0" customHeight="1">
      <x:c r="A19" s="83" t="str">
        <x:v>605499.SH</x:v>
      </x:c>
      <x:c r="B19" s="82" t="str">
        <x:v>东鹏饮料</x:v>
      </x:c>
      <x:c r="C19" s="82" t="str">
        <x:v>历史深度低估</x:v>
      </x:c>
      <x:c r="D19" s="82" t="str">
        <x:v>VERY_CHEAP</x:v>
      </x:c>
      <x:c r="E19" s="82" t="str">
        <x:v>READY</x:v>
      </x:c>
      <x:c r="F19" s="82" t="str">
        <x:v>historical-valuation-v1.0.0</x:v>
      </x:c>
      <x:c r="G19" s="82" t="str">
        <x:v>TongDaXin historical PE/PB/dividend-yield cache</x:v>
      </x:c>
    </x:row>
    <x:row r="20" ht="15" hidden="0" customHeight="1">
      <x:c r="A20" s="83" t="str">
        <x:v>603195.SH</x:v>
      </x:c>
      <x:c r="B20" s="82" t="str">
        <x:v>公牛集团</x:v>
      </x:c>
      <x:c r="C20" s="82" t="str">
        <x:v>历史深度低估</x:v>
      </x:c>
      <x:c r="D20" s="82" t="str">
        <x:v>VERY_CHEAP</x:v>
      </x:c>
      <x:c r="E20" s="82" t="str">
        <x:v>READY</x:v>
      </x:c>
      <x:c r="F20" s="82" t="str">
        <x:v>historical-valuation-v1.0.0</x:v>
      </x:c>
      <x:c r="G20" s="82" t="str">
        <x:v>TongDaXin historical PE/PB/dividend-yield cache</x:v>
      </x:c>
    </x:row>
    <x:row r="21" ht="15" hidden="0" customHeight="1">
      <x:c r="A21" s="83" t="str">
        <x:v>600210.SH</x:v>
      </x:c>
      <x:c r="B21" s="82" t="str">
        <x:v>紫江企业</x:v>
      </x:c>
      <x:c r="C21" s="82" t="str">
        <x:v>历史深度低估</x:v>
      </x:c>
      <x:c r="D21" s="82" t="str">
        <x:v>VERY_CHEAP</x:v>
      </x:c>
      <x:c r="E21" s="82" t="str">
        <x:v>READY</x:v>
      </x:c>
      <x:c r="F21" s="82" t="str">
        <x:v>historical-valuation-v1.0.0</x:v>
      </x:c>
      <x:c r="G21" s="82" t="str">
        <x:v>TongDaXin historical PE/PB/dividend-yield cache</x:v>
      </x:c>
    </x:row>
    <x:row r="22" ht="15" hidden="0" customHeight="1">
      <x:c r="A22" s="83" t="str">
        <x:v>603515.SH</x:v>
      </x:c>
      <x:c r="B22" s="82" t="str">
        <x:v>欧普照明</x:v>
      </x:c>
      <x:c r="C22" s="82" t="str">
        <x:v>历史深度低估</x:v>
      </x:c>
      <x:c r="D22" s="82" t="str">
        <x:v>VERY_CHEAP</x:v>
      </x:c>
      <x:c r="E22" s="82" t="str">
        <x:v>READY</x:v>
      </x:c>
      <x:c r="F22" s="82" t="str">
        <x:v>historical-valuation-v1.0.0</x:v>
      </x:c>
      <x:c r="G22" s="82" t="str">
        <x:v>TongDaXin historical PE/PB/dividend-yield cache</x:v>
      </x:c>
    </x:row>
    <x:row r="23" ht="15" hidden="0" customHeight="1">
      <x:c r="A23" s="83" t="str">
        <x:v>300627.SZ</x:v>
      </x:c>
      <x:c r="B23" s="82" t="str">
        <x:v>华测导航</x:v>
      </x:c>
      <x:c r="C23" s="82" t="str">
        <x:v>历史深度低估</x:v>
      </x:c>
      <x:c r="D23" s="82" t="str">
        <x:v>VERY_CHEAP</x:v>
      </x:c>
      <x:c r="E23" s="82" t="str">
        <x:v>READY</x:v>
      </x:c>
      <x:c r="F23" s="82" t="str">
        <x:v>historical-valuation-v1.0.0</x:v>
      </x:c>
      <x:c r="G23" s="82" t="str">
        <x:v>TongDaXin historical PE/PB/dividend-yield cache</x:v>
      </x:c>
    </x:row>
    <x:row r="24" ht="15" hidden="0" customHeight="1">
      <x:c r="A24" s="83" t="str">
        <x:v>000915.SZ</x:v>
      </x:c>
      <x:c r="B24" s="82" t="str">
        <x:v>华特达因</x:v>
      </x:c>
      <x:c r="C24" s="82" t="str">
        <x:v>历史深度低估</x:v>
      </x:c>
      <x:c r="D24" s="82" t="str">
        <x:v>VERY_CHEAP</x:v>
      </x:c>
      <x:c r="E24" s="82" t="str">
        <x:v>READY</x:v>
      </x:c>
      <x:c r="F24" s="82" t="str">
        <x:v>historical-valuation-v1.0.0</x:v>
      </x:c>
      <x:c r="G24" s="82" t="str">
        <x:v>TongDaXin historical PE/PB/dividend-yield cache</x:v>
      </x:c>
    </x:row>
    <x:row r="25" ht="15" hidden="0" customHeight="1">
      <x:c r="A25" s="83" t="str">
        <x:v>600335.SH</x:v>
      </x:c>
      <x:c r="B25" s="82" t="str">
        <x:v>国机汽车</x:v>
      </x:c>
      <x:c r="C25" s="82" t="str">
        <x:v>历史深度低估</x:v>
      </x:c>
      <x:c r="D25" s="82" t="str">
        <x:v>VERY_CHEAP</x:v>
      </x:c>
      <x:c r="E25" s="82" t="str">
        <x:v>READY</x:v>
      </x:c>
      <x:c r="F25" s="82" t="str">
        <x:v>historical-valuation-v1.0.0</x:v>
      </x:c>
      <x:c r="G25" s="82" t="str">
        <x:v>TongDaXin historical PE/PB/dividend-yield cache</x:v>
      </x:c>
    </x:row>
    <x:row r="26" ht="15" hidden="0" customHeight="1">
      <x:c r="A26" s="83" t="str">
        <x:v>688188.SH</x:v>
      </x:c>
      <x:c r="B26" s="82" t="str">
        <x:v>柏楚电子</x:v>
      </x:c>
      <x:c r="C26" s="82" t="str">
        <x:v>历史深度低估</x:v>
      </x:c>
      <x:c r="D26" s="82" t="str">
        <x:v>VERY_CHEAP</x:v>
      </x:c>
      <x:c r="E26" s="82" t="str">
        <x:v>READY</x:v>
      </x:c>
      <x:c r="F26" s="82" t="str">
        <x:v>historical-valuation-v1.0.0</x:v>
      </x:c>
      <x:c r="G26" s="82" t="str">
        <x:v>TongDaXin historical PE/PB/dividend-yield cache</x:v>
      </x:c>
    </x:row>
    <x:row r="27" ht="15" hidden="0" customHeight="1">
      <x:c r="A27" s="83" t="str">
        <x:v>688155.SH</x:v>
      </x:c>
      <x:c r="B27" s="82" t="str">
        <x:v>先惠技术</x:v>
      </x:c>
      <x:c r="C27" s="82" t="str">
        <x:v>历史深度低估</x:v>
      </x:c>
      <x:c r="D27" s="82" t="str">
        <x:v>VERY_CHEAP</x:v>
      </x:c>
      <x:c r="E27" s="82" t="str">
        <x:v>READY</x:v>
      </x:c>
      <x:c r="F27" s="82" t="str">
        <x:v>historical-valuation-v1.0.0</x:v>
      </x:c>
      <x:c r="G27" s="82" t="str">
        <x:v>TongDaXin historical PE/PB/dividend-yield cache</x:v>
      </x:c>
    </x:row>
    <x:row r="28" ht="15" hidden="0" customHeight="1">
      <x:c r="A28" s="83" t="str">
        <x:v>002340.SZ</x:v>
      </x:c>
      <x:c r="B28" s="82" t="str">
        <x:v>格林美</x:v>
      </x:c>
      <x:c r="C28" s="82" t="str">
        <x:v>历史深度低估</x:v>
      </x:c>
      <x:c r="D28" s="82" t="str">
        <x:v>VERY_CHEAP</x:v>
      </x:c>
      <x:c r="E28" s="82" t="str">
        <x:v>READY</x:v>
      </x:c>
      <x:c r="F28" s="82" t="str">
        <x:v>historical-valuation-v1.0.0</x:v>
      </x:c>
      <x:c r="G28" s="82" t="str">
        <x:v>TongDaXin historical PE/PB/dividend-yield cache</x:v>
      </x:c>
    </x:row>
    <x:row r="29" ht="15" hidden="0" customHeight="1">
      <x:c r="A29" s="83" t="str">
        <x:v>300360.SZ</x:v>
      </x:c>
      <x:c r="B29" s="82" t="str">
        <x:v>炬华科技</x:v>
      </x:c>
      <x:c r="C29" s="82" t="str">
        <x:v>历史深度低估</x:v>
      </x:c>
      <x:c r="D29" s="82" t="str">
        <x:v>VERY_CHEAP</x:v>
      </x:c>
      <x:c r="E29" s="82" t="str">
        <x:v>READY</x:v>
      </x:c>
      <x:c r="F29" s="82" t="str">
        <x:v>historical-valuation-v1.0.0</x:v>
      </x:c>
      <x:c r="G29" s="82" t="str">
        <x:v>TongDaXin historical PE/PB/dividend-yield cache</x:v>
      </x:c>
    </x:row>
    <x:row r="30" ht="15" hidden="0" customHeight="1">
      <x:c r="A30" s="83" t="str">
        <x:v>601717.SH</x:v>
      </x:c>
      <x:c r="B30" s="82" t="str">
        <x:v>中创智领</x:v>
      </x:c>
      <x:c r="C30" s="82" t="str">
        <x:v>历史深度低估</x:v>
      </x:c>
      <x:c r="D30" s="82" t="str">
        <x:v>VERY_CHEAP</x:v>
      </x:c>
      <x:c r="E30" s="82" t="str">
        <x:v>READY</x:v>
      </x:c>
      <x:c r="F30" s="82" t="str">
        <x:v>historical-valuation-v1.0.0</x:v>
      </x:c>
      <x:c r="G30" s="82" t="str">
        <x:v>TongDaXin historical PE/PB/dividend-yield cache</x:v>
      </x:c>
    </x:row>
    <x:row r="31" ht="15" hidden="0" customHeight="1">
      <x:c r="A31" s="83" t="str">
        <x:v>600887.SH</x:v>
      </x:c>
      <x:c r="B31" s="82" t="str">
        <x:v>伊利股份</x:v>
      </x:c>
      <x:c r="C31" s="82" t="str">
        <x:v>历史深度低估</x:v>
      </x:c>
      <x:c r="D31" s="82" t="str">
        <x:v>VERY_CHEAP</x:v>
      </x:c>
      <x:c r="E31" s="82" t="str">
        <x:v>READY</x:v>
      </x:c>
      <x:c r="F31" s="82" t="str">
        <x:v>historical-valuation-v1.0.0</x:v>
      </x:c>
      <x:c r="G31" s="82" t="str">
        <x:v>TongDaXin historical PE/PB/dividend-yield cache</x:v>
      </x:c>
    </x:row>
    <x:row r="32" ht="15" hidden="0" customHeight="1">
      <x:c r="A32" s="83" t="str">
        <x:v>603288.SH</x:v>
      </x:c>
      <x:c r="B32" s="82" t="str">
        <x:v>海天味业</x:v>
      </x:c>
      <x:c r="C32" s="82" t="str">
        <x:v>历史深度低估</x:v>
      </x:c>
      <x:c r="D32" s="82" t="str">
        <x:v>VERY_CHEAP</x:v>
      </x:c>
      <x:c r="E32" s="82" t="str">
        <x:v>READY</x:v>
      </x:c>
      <x:c r="F32" s="82" t="str">
        <x:v>historical-valuation-v1.0.0</x:v>
      </x:c>
      <x:c r="G32" s="82" t="str">
        <x:v>TongDaXin historical PE/PB/dividend-yield cache</x:v>
      </x:c>
    </x:row>
    <x:row r="33" ht="15" hidden="0" customHeight="1">
      <x:c r="A33" s="83" t="str">
        <x:v>603658.SH</x:v>
      </x:c>
      <x:c r="B33" s="82" t="str">
        <x:v>安图生物</x:v>
      </x:c>
      <x:c r="C33" s="82" t="str">
        <x:v>历史深度低估</x:v>
      </x:c>
      <x:c r="D33" s="82" t="str">
        <x:v>VERY_CHEAP</x:v>
      </x:c>
      <x:c r="E33" s="82" t="str">
        <x:v>READY</x:v>
      </x:c>
      <x:c r="F33" s="82" t="str">
        <x:v>historical-valuation-v1.0.0</x:v>
      </x:c>
      <x:c r="G33" s="82" t="str">
        <x:v>TongDaXin historical PE/PB/dividend-yield cache</x:v>
      </x:c>
    </x:row>
    <x:row r="34" ht="15" hidden="0" customHeight="1">
      <x:c r="A34" s="83" t="str">
        <x:v>603606.SH</x:v>
      </x:c>
      <x:c r="B34" s="82" t="str">
        <x:v>东方电缆</x:v>
      </x:c>
      <x:c r="C34" s="82" t="str">
        <x:v>历史深度低估</x:v>
      </x:c>
      <x:c r="D34" s="82" t="str">
        <x:v>VERY_CHEAP</x:v>
      </x:c>
      <x:c r="E34" s="82" t="str">
        <x:v>READY</x:v>
      </x:c>
      <x:c r="F34" s="82" t="str">
        <x:v>historical-valuation-v1.0.0</x:v>
      </x:c>
      <x:c r="G34" s="82" t="str">
        <x:v>TongDaXin historical PE/PB/dividend-yield cache</x:v>
      </x:c>
    </x:row>
    <x:row r="35" ht="15" hidden="0" customHeight="1">
      <x:c r="A35" s="83" t="str">
        <x:v>000848.SZ</x:v>
      </x:c>
      <x:c r="B35" s="82" t="str">
        <x:v>承德露露</x:v>
      </x:c>
      <x:c r="C35" s="82" t="str">
        <x:v>历史深度低估</x:v>
      </x:c>
      <x:c r="D35" s="82" t="str">
        <x:v>VERY_CHEAP</x:v>
      </x:c>
      <x:c r="E35" s="82" t="str">
        <x:v>READY</x:v>
      </x:c>
      <x:c r="F35" s="82" t="str">
        <x:v>historical-valuation-v1.0.0</x:v>
      </x:c>
      <x:c r="G35" s="82" t="str">
        <x:v>TongDaXin historical PE/PB/dividend-yield cache</x:v>
      </x:c>
    </x:row>
    <x:row r="36" ht="15" hidden="0" customHeight="1">
      <x:c r="A36" s="83" t="str">
        <x:v>300926.SZ</x:v>
      </x:c>
      <x:c r="B36" s="82" t="str">
        <x:v>博俊科技</x:v>
      </x:c>
      <x:c r="C36" s="82" t="str">
        <x:v>历史深度低估</x:v>
      </x:c>
      <x:c r="D36" s="82" t="str">
        <x:v>VERY_CHEAP</x:v>
      </x:c>
      <x:c r="E36" s="82" t="str">
        <x:v>READY</x:v>
      </x:c>
      <x:c r="F36" s="82" t="str">
        <x:v>historical-valuation-v1.0.0</x:v>
      </x:c>
      <x:c r="G36" s="82" t="str">
        <x:v>TongDaXin historical PE/PB/dividend-yield cache</x:v>
      </x:c>
    </x:row>
    <x:row r="37" ht="15" hidden="0" customHeight="1">
      <x:c r="A37" s="83" t="str">
        <x:v>600258.SH</x:v>
      </x:c>
      <x:c r="B37" s="82" t="str">
        <x:v>首旅酒店</x:v>
      </x:c>
      <x:c r="C37" s="82" t="str">
        <x:v>历史深度低估</x:v>
      </x:c>
      <x:c r="D37" s="82" t="str">
        <x:v>VERY_CHEAP</x:v>
      </x:c>
      <x:c r="E37" s="82" t="str">
        <x:v>READY</x:v>
      </x:c>
      <x:c r="F37" s="82" t="str">
        <x:v>historical-valuation-v1.0.0</x:v>
      </x:c>
      <x:c r="G37" s="82" t="str">
        <x:v>TongDaXin historical PE/PB/dividend-yield cache</x:v>
      </x:c>
    </x:row>
    <x:row r="38" ht="15" hidden="0" customHeight="1">
      <x:c r="A38" s="83" t="str">
        <x:v>002318.SZ</x:v>
      </x:c>
      <x:c r="B38" s="82" t="str">
        <x:v>久立特材</x:v>
      </x:c>
      <x:c r="C38" s="82" t="str">
        <x:v>历史深度低估</x:v>
      </x:c>
      <x:c r="D38" s="82" t="str">
        <x:v>VERY_CHEAP</x:v>
      </x:c>
      <x:c r="E38" s="82" t="str">
        <x:v>READY</x:v>
      </x:c>
      <x:c r="F38" s="82" t="str">
        <x:v>historical-valuation-v1.0.0</x:v>
      </x:c>
      <x:c r="G38" s="82" t="str">
        <x:v>TongDaXin historical PE/PB/dividend-yield cache</x:v>
      </x:c>
    </x:row>
    <x:row r="39" ht="15" hidden="0" customHeight="1">
      <x:c r="A39" s="83" t="str">
        <x:v>688789.SH</x:v>
      </x:c>
      <x:c r="B39" s="82" t="str">
        <x:v>宏华数科</x:v>
      </x:c>
      <x:c r="C39" s="82" t="str">
        <x:v>历史深度低估</x:v>
      </x:c>
      <x:c r="D39" s="82" t="str">
        <x:v>VERY_CHEAP</x:v>
      </x:c>
      <x:c r="E39" s="82" t="str">
        <x:v>READY</x:v>
      </x:c>
      <x:c r="F39" s="82" t="str">
        <x:v>historical-valuation-v1.0.0</x:v>
      </x:c>
      <x:c r="G39" s="82" t="str">
        <x:v>TongDaXin historical PE/PB/dividend-yield cache</x:v>
      </x:c>
    </x:row>
    <x:row r="40" ht="15" hidden="0" customHeight="1">
      <x:c r="A40" s="83" t="str">
        <x:v>600161.SH</x:v>
      </x:c>
      <x:c r="B40" s="82" t="str">
        <x:v>天坛生物</x:v>
      </x:c>
      <x:c r="C40" s="82" t="str">
        <x:v>历史深度低估</x:v>
      </x:c>
      <x:c r="D40" s="82" t="str">
        <x:v>VERY_CHEAP</x:v>
      </x:c>
      <x:c r="E40" s="82" t="str">
        <x:v>READY</x:v>
      </x:c>
      <x:c r="F40" s="82" t="str">
        <x:v>historical-valuation-v1.0.0</x:v>
      </x:c>
      <x:c r="G40" s="82" t="str">
        <x:v>TongDaXin historical PE/PB/dividend-yield cache</x:v>
      </x:c>
    </x:row>
    <x:row r="41" ht="15" hidden="0" customHeight="1">
      <x:c r="A41" s="83" t="str">
        <x:v>688093.SH</x:v>
      </x:c>
      <x:c r="B41" s="82" t="str">
        <x:v>世华科技</x:v>
      </x:c>
      <x:c r="C41" s="82" t="str">
        <x:v>历史深度低估</x:v>
      </x:c>
      <x:c r="D41" s="82" t="str">
        <x:v>VERY_CHEAP</x:v>
      </x:c>
      <x:c r="E41" s="82" t="str">
        <x:v>READY</x:v>
      </x:c>
      <x:c r="F41" s="82" t="str">
        <x:v>historical-valuation-v1.0.0</x:v>
      </x:c>
      <x:c r="G41" s="82" t="str">
        <x:v>TongDaXin historical PE/PB/dividend-yield cache</x:v>
      </x:c>
    </x:row>
    <x:row r="42" ht="15" hidden="0" customHeight="1">
      <x:c r="A42" s="83" t="str">
        <x:v>000513.SZ</x:v>
      </x:c>
      <x:c r="B42" s="82" t="str">
        <x:v>丽珠集团</x:v>
      </x:c>
      <x:c r="C42" s="82" t="str">
        <x:v>历史深度低估</x:v>
      </x:c>
      <x:c r="D42" s="82" t="str">
        <x:v>VERY_CHEAP</x:v>
      </x:c>
      <x:c r="E42" s="82" t="str">
        <x:v>READY</x:v>
      </x:c>
      <x:c r="F42" s="82" t="str">
        <x:v>historical-valuation-v1.0.0</x:v>
      </x:c>
      <x:c r="G42" s="82" t="str">
        <x:v>TongDaXin historical PE/PB/dividend-yield cache</x:v>
      </x:c>
    </x:row>
    <x:row r="43" ht="15" hidden="0" customHeight="1">
      <x:c r="A43" s="83" t="str">
        <x:v>600933.SH</x:v>
      </x:c>
      <x:c r="B43" s="82" t="str">
        <x:v>爱柯迪</x:v>
      </x:c>
      <x:c r="C43" s="82" t="str">
        <x:v>历史深度低估</x:v>
      </x:c>
      <x:c r="D43" s="82" t="str">
        <x:v>VERY_CHEAP</x:v>
      </x:c>
      <x:c r="E43" s="82" t="str">
        <x:v>READY</x:v>
      </x:c>
      <x:c r="F43" s="82" t="str">
        <x:v>historical-valuation-v1.0.0</x:v>
      </x:c>
      <x:c r="G43" s="82" t="str">
        <x:v>TongDaXin historical PE/PB/dividend-yield cache</x:v>
      </x:c>
    </x:row>
    <x:row r="44" ht="15" hidden="0" customHeight="1">
      <x:c r="A44" s="83" t="str">
        <x:v>002351.SZ</x:v>
      </x:c>
      <x:c r="B44" s="82" t="str">
        <x:v>漫步者</x:v>
      </x:c>
      <x:c r="C44" s="82" t="str">
        <x:v>历史深度低估</x:v>
      </x:c>
      <x:c r="D44" s="82" t="str">
        <x:v>VERY_CHEAP</x:v>
      </x:c>
      <x:c r="E44" s="82" t="str">
        <x:v>READY</x:v>
      </x:c>
      <x:c r="F44" s="82" t="str">
        <x:v>historical-valuation-v1.0.0</x:v>
      </x:c>
      <x:c r="G44" s="82" t="str">
        <x:v>TongDaXin historical PE/PB/dividend-yield cache</x:v>
      </x:c>
    </x:row>
    <x:row r="45" ht="15" hidden="0" customHeight="1">
      <x:c r="A45" s="83" t="str">
        <x:v>002946.SZ</x:v>
      </x:c>
      <x:c r="B45" s="82" t="str">
        <x:v>新乳业</x:v>
      </x:c>
      <x:c r="C45" s="82" t="str">
        <x:v>历史深度低估</x:v>
      </x:c>
      <x:c r="D45" s="82" t="str">
        <x:v>VERY_CHEAP</x:v>
      </x:c>
      <x:c r="E45" s="82" t="str">
        <x:v>READY</x:v>
      </x:c>
      <x:c r="F45" s="82" t="str">
        <x:v>historical-valuation-v1.0.0</x:v>
      </x:c>
      <x:c r="G45" s="82" t="str">
        <x:v>TongDaXin historical PE/PB/dividend-yield cache</x:v>
      </x:c>
    </x:row>
    <x:row r="46" ht="15" hidden="0" customHeight="1">
      <x:c r="A46" s="83" t="str">
        <x:v>603899.SH</x:v>
      </x:c>
      <x:c r="B46" s="82" t="str">
        <x:v>晨光股份</x:v>
      </x:c>
      <x:c r="C46" s="82" t="str">
        <x:v>历史深度低估</x:v>
      </x:c>
      <x:c r="D46" s="82" t="str">
        <x:v>VERY_CHEAP</x:v>
      </x:c>
      <x:c r="E46" s="82" t="str">
        <x:v>READY</x:v>
      </x:c>
      <x:c r="F46" s="82" t="str">
        <x:v>historical-valuation-v1.0.0</x:v>
      </x:c>
      <x:c r="G46" s="82" t="str">
        <x:v>TongDaXin historical PE/PB/dividend-yield cache</x:v>
      </x:c>
    </x:row>
    <x:row r="47" ht="15" hidden="0" customHeight="1">
      <x:c r="A47" s="83" t="str">
        <x:v>601633.SH</x:v>
      </x:c>
      <x:c r="B47" s="82" t="str">
        <x:v>长城汽车</x:v>
      </x:c>
      <x:c r="C47" s="82" t="str">
        <x:v>历史深度低估</x:v>
      </x:c>
      <x:c r="D47" s="82" t="str">
        <x:v>VERY_CHEAP</x:v>
      </x:c>
      <x:c r="E47" s="82" t="str">
        <x:v>READY</x:v>
      </x:c>
      <x:c r="F47" s="82" t="str">
        <x:v>historical-valuation-v1.0.0</x:v>
      </x:c>
      <x:c r="G47" s="82" t="str">
        <x:v>TongDaXin historical PE/PB/dividend-yield cache</x:v>
      </x:c>
    </x:row>
    <x:row r="48" ht="15" hidden="0" customHeight="1">
      <x:c r="A48" s="83" t="str">
        <x:v>601816.SH</x:v>
      </x:c>
      <x:c r="B48" s="82" t="str">
        <x:v>京沪高铁</x:v>
      </x:c>
      <x:c r="C48" s="82" t="str">
        <x:v>历史深度低估</x:v>
      </x:c>
      <x:c r="D48" s="82" t="str">
        <x:v>VERY_CHEAP</x:v>
      </x:c>
      <x:c r="E48" s="82" t="str">
        <x:v>READY</x:v>
      </x:c>
      <x:c r="F48" s="82" t="str">
        <x:v>historical-valuation-v1.0.0</x:v>
      </x:c>
      <x:c r="G48" s="82" t="str">
        <x:v>TongDaXin historical PE/PB/dividend-yield cache</x:v>
      </x:c>
    </x:row>
    <x:row r="49" ht="15" hidden="0" customHeight="1">
      <x:c r="A49" s="83" t="str">
        <x:v>600511.SH</x:v>
      </x:c>
      <x:c r="B49" s="82" t="str">
        <x:v>国药股份</x:v>
      </x:c>
      <x:c r="C49" s="82" t="str">
        <x:v>历史深度低估</x:v>
      </x:c>
      <x:c r="D49" s="82" t="str">
        <x:v>VERY_CHEAP</x:v>
      </x:c>
      <x:c r="E49" s="82" t="str">
        <x:v>READY</x:v>
      </x:c>
      <x:c r="F49" s="82" t="str">
        <x:v>historical-valuation-v1.0.0</x:v>
      </x:c>
      <x:c r="G49" s="82" t="str">
        <x:v>TongDaXin historical PE/PB/dividend-yield cache</x:v>
      </x:c>
    </x:row>
    <x:row r="50" ht="15" hidden="0" customHeight="1">
      <x:c r="A50" s="83" t="str">
        <x:v>002152.SZ</x:v>
      </x:c>
      <x:c r="B50" s="82" t="str">
        <x:v>广电运通</x:v>
      </x:c>
      <x:c r="C50" s="82" t="str">
        <x:v>历史深度低估</x:v>
      </x:c>
      <x:c r="D50" s="82" t="str">
        <x:v>VERY_CHEAP</x:v>
      </x:c>
      <x:c r="E50" s="82" t="str">
        <x:v>READY</x:v>
      </x:c>
      <x:c r="F50" s="82" t="str">
        <x:v>historical-valuation-v1.0.0</x:v>
      </x:c>
      <x:c r="G50" s="82" t="str">
        <x:v>TongDaXin historical PE/PB/dividend-yield cache</x:v>
      </x:c>
    </x:row>
    <x:row r="51" ht="15" hidden="0" customHeight="1">
      <x:c r="A51" s="83" t="str">
        <x:v>002032.SZ</x:v>
      </x:c>
      <x:c r="B51" s="82" t="str">
        <x:v>苏 泊 尔</x:v>
      </x:c>
      <x:c r="C51" s="82" t="str">
        <x:v>历史深度低估</x:v>
      </x:c>
      <x:c r="D51" s="82" t="str">
        <x:v>VERY_CHEAP</x:v>
      </x:c>
      <x:c r="E51" s="82" t="str">
        <x:v>READY</x:v>
      </x:c>
      <x:c r="F51" s="82" t="str">
        <x:v>historical-valuation-v1.0.0</x:v>
      </x:c>
      <x:c r="G51" s="82" t="str">
        <x:v>TongDaXin historical PE/PB/dividend-yield cache</x:v>
      </x:c>
    </x:row>
    <x:row r="52" ht="15" hidden="0" customHeight="1">
      <x:c r="A52" s="83" t="str">
        <x:v>605183.SH</x:v>
      </x:c>
      <x:c r="B52" s="82" t="str">
        <x:v>确成股份</x:v>
      </x:c>
      <x:c r="C52" s="82" t="str">
        <x:v>历史深度低估</x:v>
      </x:c>
      <x:c r="D52" s="82" t="str">
        <x:v>VERY_CHEAP</x:v>
      </x:c>
      <x:c r="E52" s="82" t="str">
        <x:v>READY</x:v>
      </x:c>
      <x:c r="F52" s="82" t="str">
        <x:v>historical-valuation-v1.0.0</x:v>
      </x:c>
      <x:c r="G52" s="82" t="str">
        <x:v>TongDaXin historical PE/PB/dividend-yield cache</x:v>
      </x:c>
    </x:row>
    <x:row r="53" ht="15" hidden="0" customHeight="1">
      <x:c r="A53" s="83" t="str">
        <x:v>601139.SH</x:v>
      </x:c>
      <x:c r="B53" s="82" t="str">
        <x:v>深圳燃气</x:v>
      </x:c>
      <x:c r="C53" s="82" t="str">
        <x:v>历史深度低估</x:v>
      </x:c>
      <x:c r="D53" s="82" t="str">
        <x:v>VERY_CHEAP</x:v>
      </x:c>
      <x:c r="E53" s="82" t="str">
        <x:v>READY</x:v>
      </x:c>
      <x:c r="F53" s="82" t="str">
        <x:v>historical-valuation-v1.0.0</x:v>
      </x:c>
      <x:c r="G53" s="82" t="str">
        <x:v>TongDaXin historical PE/PB/dividend-yield cache</x:v>
      </x:c>
    </x:row>
    <x:row r="54" ht="15" hidden="0" customHeight="1">
      <x:c r="A54" s="83" t="str">
        <x:v>600406.SH</x:v>
      </x:c>
      <x:c r="B54" s="82" t="str">
        <x:v>国电南瑞</x:v>
      </x:c>
      <x:c r="C54" s="82" t="str">
        <x:v>历史深度低估</x:v>
      </x:c>
      <x:c r="D54" s="82" t="str">
        <x:v>VERY_CHEAP</x:v>
      </x:c>
      <x:c r="E54" s="82" t="str">
        <x:v>READY</x:v>
      </x:c>
      <x:c r="F54" s="82" t="str">
        <x:v>historical-valuation-v1.0.0</x:v>
      </x:c>
      <x:c r="G54" s="82" t="str">
        <x:v>TongDaXin historical PE/PB/dividend-yield cache</x:v>
      </x:c>
    </x:row>
    <x:row r="55" ht="15" hidden="0" customHeight="1">
      <x:c r="A55" s="83" t="str">
        <x:v>002410.SZ</x:v>
      </x:c>
      <x:c r="B55" s="82" t="str">
        <x:v>广联达</x:v>
      </x:c>
      <x:c r="C55" s="82" t="str">
        <x:v>历史深度低估</x:v>
      </x:c>
      <x:c r="D55" s="82" t="str">
        <x:v>VERY_CHEAP</x:v>
      </x:c>
      <x:c r="E55" s="82" t="str">
        <x:v>READY</x:v>
      </x:c>
      <x:c r="F55" s="82" t="str">
        <x:v>historical-valuation-v1.0.0</x:v>
      </x:c>
      <x:c r="G55" s="82" t="str">
        <x:v>TongDaXin historical PE/PB/dividend-yield cache</x:v>
      </x:c>
    </x:row>
    <x:row r="56" ht="15" hidden="0" customHeight="1">
      <x:c r="A56" s="83" t="str">
        <x:v>002959.SZ</x:v>
      </x:c>
      <x:c r="B56" s="82" t="str">
        <x:v>小熊电器</x:v>
      </x:c>
      <x:c r="C56" s="82" t="str">
        <x:v>历史深度低估</x:v>
      </x:c>
      <x:c r="D56" s="82" t="str">
        <x:v>VERY_CHEAP</x:v>
      </x:c>
      <x:c r="E56" s="82" t="str">
        <x:v>READY</x:v>
      </x:c>
      <x:c r="F56" s="82" t="str">
        <x:v>historical-valuation-v1.0.0</x:v>
      </x:c>
      <x:c r="G56" s="82" t="str">
        <x:v>TongDaXin historical PE/PB/dividend-yield cache</x:v>
      </x:c>
    </x:row>
    <x:row r="57" ht="15" hidden="0" customHeight="1">
      <x:c r="A57" s="83" t="str">
        <x:v>300957.SZ</x:v>
      </x:c>
      <x:c r="B57" s="82" t="str">
        <x:v>贝泰妮</x:v>
      </x:c>
      <x:c r="C57" s="82" t="str">
        <x:v>历史深度低估</x:v>
      </x:c>
      <x:c r="D57" s="82" t="str">
        <x:v>VERY_CHEAP</x:v>
      </x:c>
      <x:c r="E57" s="82" t="str">
        <x:v>READY</x:v>
      </x:c>
      <x:c r="F57" s="82" t="str">
        <x:v>historical-valuation-v1.0.0</x:v>
      </x:c>
      <x:c r="G57" s="82" t="str">
        <x:v>TongDaXin historical PE/PB/dividend-yield cache</x:v>
      </x:c>
    </x:row>
    <x:row r="58" ht="15" hidden="0" customHeight="1">
      <x:c r="A58" s="83" t="str">
        <x:v>600862.SH</x:v>
      </x:c>
      <x:c r="B58" s="82" t="str">
        <x:v>中航高科</x:v>
      </x:c>
      <x:c r="C58" s="82" t="str">
        <x:v>历史深度低估</x:v>
      </x:c>
      <x:c r="D58" s="82" t="str">
        <x:v>VERY_CHEAP</x:v>
      </x:c>
      <x:c r="E58" s="82" t="str">
        <x:v>READY</x:v>
      </x:c>
      <x:c r="F58" s="82" t="str">
        <x:v>historical-valuation-v1.0.0</x:v>
      </x:c>
      <x:c r="G58" s="82" t="str">
        <x:v>TongDaXin historical PE/PB/dividend-yield cache</x:v>
      </x:c>
    </x:row>
    <x:row r="59" ht="15" hidden="0" customHeight="1">
      <x:c r="A59" s="83" t="str">
        <x:v>605116.SH</x:v>
      </x:c>
      <x:c r="B59" s="82" t="str">
        <x:v>奥锐特</x:v>
      </x:c>
      <x:c r="C59" s="82" t="str">
        <x:v>历史深度低估</x:v>
      </x:c>
      <x:c r="D59" s="82" t="str">
        <x:v>VERY_CHEAP</x:v>
      </x:c>
      <x:c r="E59" s="82" t="str">
        <x:v>READY</x:v>
      </x:c>
      <x:c r="F59" s="82" t="str">
        <x:v>historical-valuation-v1.0.0</x:v>
      </x:c>
      <x:c r="G59" s="82" t="str">
        <x:v>TongDaXin historical PE/PB/dividend-yield cache</x:v>
      </x:c>
    </x:row>
    <x:row r="60" ht="15" hidden="0" customHeight="1">
      <x:c r="A60" s="83" t="str">
        <x:v>002920.SZ</x:v>
      </x:c>
      <x:c r="B60" s="82" t="str">
        <x:v>德赛西威</x:v>
      </x:c>
      <x:c r="C60" s="82" t="str">
        <x:v>历史深度低估</x:v>
      </x:c>
      <x:c r="D60" s="82" t="str">
        <x:v>VERY_CHEAP</x:v>
      </x:c>
      <x:c r="E60" s="82" t="str">
        <x:v>READY</x:v>
      </x:c>
      <x:c r="F60" s="82" t="str">
        <x:v>historical-valuation-v1.0.0</x:v>
      </x:c>
      <x:c r="G60" s="82" t="str">
        <x:v>TongDaXin historical PE/PB/dividend-yield cache</x:v>
      </x:c>
    </x:row>
    <x:row r="61" ht="15" hidden="0" customHeight="1">
      <x:c r="A61" s="83" t="str">
        <x:v>600809.SH</x:v>
      </x:c>
      <x:c r="B61" s="82" t="str">
        <x:v>山西汾酒</x:v>
      </x:c>
      <x:c r="C61" s="82" t="str">
        <x:v>历史深度低估</x:v>
      </x:c>
      <x:c r="D61" s="82" t="str">
        <x:v>VERY_CHEAP</x:v>
      </x:c>
      <x:c r="E61" s="82" t="str">
        <x:v>READY</x:v>
      </x:c>
      <x:c r="F61" s="82" t="str">
        <x:v>historical-valuation-v1.0.0</x:v>
      </x:c>
      <x:c r="G61" s="82" t="str">
        <x:v>TongDaXin historical PE/PB/dividend-yield cache</x:v>
      </x:c>
    </x:row>
    <x:row r="62" ht="15" hidden="0" customHeight="1">
      <x:c r="A62" s="83" t="str">
        <x:v>688100.SH</x:v>
      </x:c>
      <x:c r="B62" s="82" t="str">
        <x:v>威胜信息</x:v>
      </x:c>
      <x:c r="C62" s="82" t="str">
        <x:v>历史深度低估</x:v>
      </x:c>
      <x:c r="D62" s="82" t="str">
        <x:v>VERY_CHEAP</x:v>
      </x:c>
      <x:c r="E62" s="82" t="str">
        <x:v>READY</x:v>
      </x:c>
      <x:c r="F62" s="82" t="str">
        <x:v>historical-valuation-v1.0.0</x:v>
      </x:c>
      <x:c r="G62" s="82" t="str">
        <x:v>TongDaXin historical PE/PB/dividend-yield cache</x:v>
      </x:c>
    </x:row>
    <x:row r="63" ht="15" hidden="0" customHeight="1">
      <x:c r="A63" s="83" t="str">
        <x:v>603025.SH</x:v>
      </x:c>
      <x:c r="B63" s="82" t="str">
        <x:v>大豪科技</x:v>
      </x:c>
      <x:c r="C63" s="82" t="str">
        <x:v>历史深度低估</x:v>
      </x:c>
      <x:c r="D63" s="82" t="str">
        <x:v>VERY_CHEAP</x:v>
      </x:c>
      <x:c r="E63" s="82" t="str">
        <x:v>READY</x:v>
      </x:c>
      <x:c r="F63" s="82" t="str">
        <x:v>historical-valuation-v1.0.0</x:v>
      </x:c>
      <x:c r="G63" s="82" t="str">
        <x:v>TongDaXin historical PE/PB/dividend-yield cache</x:v>
      </x:c>
    </x:row>
    <x:row r="64" ht="15" hidden="0" customHeight="1">
      <x:c r="A64" s="83" t="str">
        <x:v>603233.SH</x:v>
      </x:c>
      <x:c r="B64" s="82" t="str">
        <x:v>大参林</x:v>
      </x:c>
      <x:c r="C64" s="82" t="str">
        <x:v>历史深度低估</x:v>
      </x:c>
      <x:c r="D64" s="82" t="str">
        <x:v>VERY_CHEAP</x:v>
      </x:c>
      <x:c r="E64" s="82" t="str">
        <x:v>READY</x:v>
      </x:c>
      <x:c r="F64" s="82" t="str">
        <x:v>historical-valuation-v1.0.0</x:v>
      </x:c>
      <x:c r="G64" s="82" t="str">
        <x:v>TongDaXin historical PE/PB/dividend-yield cache</x:v>
      </x:c>
    </x:row>
    <x:row r="65" ht="15" hidden="0" customHeight="1">
      <x:c r="A65" s="83" t="str">
        <x:v>002906.SZ</x:v>
      </x:c>
      <x:c r="B65" s="82" t="str">
        <x:v>华阳集团</x:v>
      </x:c>
      <x:c r="C65" s="82" t="str">
        <x:v>历史深度低估</x:v>
      </x:c>
      <x:c r="D65" s="82" t="str">
        <x:v>VERY_CHEAP</x:v>
      </x:c>
      <x:c r="E65" s="82" t="str">
        <x:v>READY</x:v>
      </x:c>
      <x:c r="F65" s="82" t="str">
        <x:v>historical-valuation-v1.0.0</x:v>
      </x:c>
      <x:c r="G65" s="82" t="str">
        <x:v>TongDaXin historical PE/PB/dividend-yield cache</x:v>
      </x:c>
    </x:row>
    <x:row r="66" ht="15" hidden="0" customHeight="1">
      <x:c r="A66" s="83" t="str">
        <x:v>002375.SZ</x:v>
      </x:c>
      <x:c r="B66" s="82" t="str">
        <x:v>亚厦股份</x:v>
      </x:c>
      <x:c r="C66" s="82" t="str">
        <x:v>历史深度低估</x:v>
      </x:c>
      <x:c r="D66" s="82" t="str">
        <x:v>VERY_CHEAP</x:v>
      </x:c>
      <x:c r="E66" s="82" t="str">
        <x:v>READY</x:v>
      </x:c>
      <x:c r="F66" s="82" t="str">
        <x:v>historical-valuation-v1.0.0</x:v>
      </x:c>
      <x:c r="G66" s="82" t="str">
        <x:v>TongDaXin historical PE/PB/dividend-yield cache</x:v>
      </x:c>
    </x:row>
    <x:row r="67" ht="15" hidden="0" customHeight="1">
      <x:c r="A67" s="83" t="str">
        <x:v>603181.SH</x:v>
      </x:c>
      <x:c r="B67" s="82" t="str">
        <x:v>皇马科技</x:v>
      </x:c>
      <x:c r="C67" s="82" t="str">
        <x:v>历史深度低估</x:v>
      </x:c>
      <x:c r="D67" s="82" t="str">
        <x:v>VERY_CHEAP</x:v>
      </x:c>
      <x:c r="E67" s="82" t="str">
        <x:v>READY</x:v>
      </x:c>
      <x:c r="F67" s="82" t="str">
        <x:v>historical-valuation-v1.0.0</x:v>
      </x:c>
      <x:c r="G67" s="82" t="str">
        <x:v>TongDaXin historical PE/PB/dividend-yield cache</x:v>
      </x:c>
    </x:row>
    <x:row r="68" ht="15" hidden="0" customHeight="1">
      <x:c r="A68" s="83" t="str">
        <x:v>300722.SZ</x:v>
      </x:c>
      <x:c r="B68" s="82" t="str">
        <x:v>新余国科</x:v>
      </x:c>
      <x:c r="C68" s="82" t="str">
        <x:v>历史深度低估</x:v>
      </x:c>
      <x:c r="D68" s="82" t="str">
        <x:v>VERY_CHEAP</x:v>
      </x:c>
      <x:c r="E68" s="82" t="str">
        <x:v>READY</x:v>
      </x:c>
      <x:c r="F68" s="82" t="str">
        <x:v>historical-valuation-v1.0.0</x:v>
      </x:c>
      <x:c r="G68" s="82" t="str">
        <x:v>TongDaXin historical PE/PB/dividend-yield cache</x:v>
      </x:c>
    </x:row>
    <x:row r="69" ht="15" hidden="0" customHeight="1">
      <x:c r="A69" s="83" t="str">
        <x:v>603193.SH</x:v>
      </x:c>
      <x:c r="B69" s="82" t="str">
        <x:v>润本股份</x:v>
      </x:c>
      <x:c r="C69" s="82" t="str">
        <x:v>历史深度低估</x:v>
      </x:c>
      <x:c r="D69" s="82" t="str">
        <x:v>VERY_CHEAP</x:v>
      </x:c>
      <x:c r="E69" s="82" t="str">
        <x:v>PARTIAL</x:v>
      </x:c>
      <x:c r="F69" s="82" t="str">
        <x:v>historical-valuation-v1.0.0</x:v>
      </x:c>
      <x:c r="G69" s="82" t="str">
        <x:v>TongDaXin historical PE/PB/dividend-yield cache</x:v>
      </x:c>
    </x:row>
    <x:row r="70" ht="15" hidden="0" customHeight="1">
      <x:c r="A70" s="83" t="str">
        <x:v>601799.SH</x:v>
      </x:c>
      <x:c r="B70" s="82" t="str">
        <x:v>星宇股份</x:v>
      </x:c>
      <x:c r="C70" s="82" t="str">
        <x:v>历史深度低估</x:v>
      </x:c>
      <x:c r="D70" s="82" t="str">
        <x:v>VERY_CHEAP</x:v>
      </x:c>
      <x:c r="E70" s="82" t="str">
        <x:v>READY</x:v>
      </x:c>
      <x:c r="F70" s="82" t="str">
        <x:v>historical-valuation-v1.0.0</x:v>
      </x:c>
      <x:c r="G70" s="82" t="str">
        <x:v>TongDaXin historical PE/PB/dividend-yield cache</x:v>
      </x:c>
    </x:row>
    <x:row r="71" ht="15" hidden="0" customHeight="1">
      <x:c r="A71" s="83" t="str">
        <x:v>002200.SZ</x:v>
      </x:c>
      <x:c r="B71" s="82" t="str">
        <x:v>交投生态</x:v>
      </x:c>
      <x:c r="C71" s="82" t="str">
        <x:v>历史深度低估</x:v>
      </x:c>
      <x:c r="D71" s="82" t="str">
        <x:v>VERY_CHEAP</x:v>
      </x:c>
      <x:c r="E71" s="82" t="str">
        <x:v>READY</x:v>
      </x:c>
      <x:c r="F71" s="82" t="str">
        <x:v>historical-valuation-v1.0.0</x:v>
      </x:c>
      <x:c r="G71" s="82" t="str">
        <x:v>TongDaXin historical PE/PB/dividend-yield cache</x:v>
      </x:c>
    </x:row>
    <x:row r="72" ht="15" hidden="0" customHeight="1">
      <x:c r="A72" s="83" t="str">
        <x:v>688526.SH</x:v>
      </x:c>
      <x:c r="B72" s="82" t="str">
        <x:v>科前生物</x:v>
      </x:c>
      <x:c r="C72" s="82" t="str">
        <x:v>历史深度低估</x:v>
      </x:c>
      <x:c r="D72" s="82" t="str">
        <x:v>VERY_CHEAP</x:v>
      </x:c>
      <x:c r="E72" s="82" t="str">
        <x:v>READY</x:v>
      </x:c>
      <x:c r="F72" s="82" t="str">
        <x:v>historical-valuation-v1.0.0</x:v>
      </x:c>
      <x:c r="G72" s="82" t="str">
        <x:v>TongDaXin historical PE/PB/dividend-yield cache</x:v>
      </x:c>
    </x:row>
    <x:row r="73" ht="15" hidden="0" customHeight="1">
      <x:c r="A73" s="83" t="str">
        <x:v>301215.SZ</x:v>
      </x:c>
      <x:c r="B73" s="82" t="str">
        <x:v>中汽股份</x:v>
      </x:c>
      <x:c r="C73" s="82" t="str">
        <x:v>历史深度低估</x:v>
      </x:c>
      <x:c r="D73" s="82" t="str">
        <x:v>VERY_CHEAP</x:v>
      </x:c>
      <x:c r="E73" s="82" t="str">
        <x:v>READY</x:v>
      </x:c>
      <x:c r="F73" s="82" t="str">
        <x:v>historical-valuation-v1.0.0</x:v>
      </x:c>
      <x:c r="G73" s="82" t="str">
        <x:v>TongDaXin historical PE/PB/dividend-yield cache</x:v>
      </x:c>
    </x:row>
    <x:row r="74" ht="15" hidden="0" customHeight="1">
      <x:c r="A74" s="83" t="str">
        <x:v>002997.SZ</x:v>
      </x:c>
      <x:c r="B74" s="82" t="str">
        <x:v>瑞鹄模具</x:v>
      </x:c>
      <x:c r="C74" s="82" t="str">
        <x:v>历史深度低估</x:v>
      </x:c>
      <x:c r="D74" s="82" t="str">
        <x:v>VERY_CHEAP</x:v>
      </x:c>
      <x:c r="E74" s="82" t="str">
        <x:v>READY</x:v>
      </x:c>
      <x:c r="F74" s="82" t="str">
        <x:v>historical-valuation-v1.0.0</x:v>
      </x:c>
      <x:c r="G74" s="82" t="str">
        <x:v>TongDaXin historical PE/PB/dividend-yield cache</x:v>
      </x:c>
    </x:row>
    <x:row r="75" ht="15" hidden="0" customHeight="1">
      <x:c r="A75" s="83" t="str">
        <x:v>002011.SZ</x:v>
      </x:c>
      <x:c r="B75" s="82" t="str">
        <x:v>盾安环境</x:v>
      </x:c>
      <x:c r="C75" s="82" t="str">
        <x:v>历史深度低估</x:v>
      </x:c>
      <x:c r="D75" s="82" t="str">
        <x:v>VERY_CHEAP</x:v>
      </x:c>
      <x:c r="E75" s="82" t="str">
        <x:v>READY</x:v>
      </x:c>
      <x:c r="F75" s="82" t="str">
        <x:v>historical-valuation-v1.0.0</x:v>
      </x:c>
      <x:c r="G75" s="82" t="str">
        <x:v>TongDaXin historical PE/PB/dividend-yield cache</x:v>
      </x:c>
    </x:row>
    <x:row r="76" ht="15" hidden="0" customHeight="1">
      <x:c r="A76" s="83" t="str">
        <x:v>600612.SH</x:v>
      </x:c>
      <x:c r="B76" s="82" t="str">
        <x:v>老凤祥</x:v>
      </x:c>
      <x:c r="C76" s="82" t="str">
        <x:v>历史深度低估</x:v>
      </x:c>
      <x:c r="D76" s="82" t="str">
        <x:v>VERY_CHEAP</x:v>
      </x:c>
      <x:c r="E76" s="82" t="str">
        <x:v>READY</x:v>
      </x:c>
      <x:c r="F76" s="82" t="str">
        <x:v>historical-valuation-v1.0.0</x:v>
      </x:c>
      <x:c r="G76" s="82" t="str">
        <x:v>TongDaXin historical PE/PB/dividend-yield cache</x:v>
      </x:c>
    </x:row>
    <x:row r="77" ht="15" hidden="0" customHeight="1">
      <x:c r="A77" s="83" t="str">
        <x:v>603187.SH</x:v>
      </x:c>
      <x:c r="B77" s="82" t="str">
        <x:v>海容冷链</x:v>
      </x:c>
      <x:c r="C77" s="82" t="str">
        <x:v>历史深度低估</x:v>
      </x:c>
      <x:c r="D77" s="82" t="str">
        <x:v>VERY_CHEAP</x:v>
      </x:c>
      <x:c r="E77" s="82" t="str">
        <x:v>READY</x:v>
      </x:c>
      <x:c r="F77" s="82" t="str">
        <x:v>historical-valuation-v1.0.0</x:v>
      </x:c>
      <x:c r="G77" s="82" t="str">
        <x:v>TongDaXin historical PE/PB/dividend-yield cache</x:v>
      </x:c>
    </x:row>
    <x:row r="78" ht="15" hidden="0" customHeight="1">
      <x:c r="A78" s="83" t="str">
        <x:v>300850.SZ</x:v>
      </x:c>
      <x:c r="B78" s="82" t="str">
        <x:v>新强联</x:v>
      </x:c>
      <x:c r="C78" s="82" t="str">
        <x:v>历史深度低估</x:v>
      </x:c>
      <x:c r="D78" s="82" t="str">
        <x:v>VERY_CHEAP</x:v>
      </x:c>
      <x:c r="E78" s="82" t="str">
        <x:v>READY</x:v>
      </x:c>
      <x:c r="F78" s="82" t="str">
        <x:v>historical-valuation-v1.0.0</x:v>
      </x:c>
      <x:c r="G78" s="82" t="str">
        <x:v>TongDaXin historical PE/PB/dividend-yield cache</x:v>
      </x:c>
    </x:row>
    <x:row r="79" ht="15" hidden="0" customHeight="1">
      <x:c r="A79" s="83" t="str">
        <x:v>600150.SH</x:v>
      </x:c>
      <x:c r="B79" s="82" t="str">
        <x:v>中国船舶</x:v>
      </x:c>
      <x:c r="C79" s="82" t="str">
        <x:v>历史深度低估</x:v>
      </x:c>
      <x:c r="D79" s="82" t="str">
        <x:v>VERY_CHEAP</x:v>
      </x:c>
      <x:c r="E79" s="82" t="str">
        <x:v>READY</x:v>
      </x:c>
      <x:c r="F79" s="82" t="str">
        <x:v>historical-valuation-v1.0.0</x:v>
      </x:c>
      <x:c r="G79" s="82" t="str">
        <x:v>TongDaXin historical PE/PB/dividend-yield cache</x:v>
      </x:c>
    </x:row>
    <x:row r="80" ht="15" hidden="0" customHeight="1">
      <x:c r="A80" s="83" t="str">
        <x:v>600598.SH</x:v>
      </x:c>
      <x:c r="B80" s="82" t="str">
        <x:v>北大荒</x:v>
      </x:c>
      <x:c r="C80" s="82" t="str">
        <x:v>历史深度低估</x:v>
      </x:c>
      <x:c r="D80" s="82" t="str">
        <x:v>VERY_CHEAP</x:v>
      </x:c>
      <x:c r="E80" s="82" t="str">
        <x:v>READY</x:v>
      </x:c>
      <x:c r="F80" s="82" t="str">
        <x:v>historical-valuation-v1.0.0</x:v>
      </x:c>
      <x:c r="G80" s="82" t="str">
        <x:v>TongDaXin historical PE/PB/dividend-yield cache</x:v>
      </x:c>
    </x:row>
    <x:row r="81" ht="15" hidden="0" customHeight="1">
      <x:c r="A81" s="83" t="str">
        <x:v>300973.SZ</x:v>
      </x:c>
      <x:c r="B81" s="82" t="str">
        <x:v>立高食品</x:v>
      </x:c>
      <x:c r="C81" s="82" t="str">
        <x:v>历史深度低估</x:v>
      </x:c>
      <x:c r="D81" s="82" t="str">
        <x:v>VERY_CHEAP</x:v>
      </x:c>
      <x:c r="E81" s="82" t="str">
        <x:v>READY</x:v>
      </x:c>
      <x:c r="F81" s="82" t="str">
        <x:v>historical-valuation-v1.0.0</x:v>
      </x:c>
      <x:c r="G81" s="82" t="str">
        <x:v>TongDaXin historical PE/PB/dividend-yield cache</x:v>
      </x:c>
    </x:row>
    <x:row r="82" ht="15" hidden="0" customHeight="1">
      <x:c r="A82" s="83" t="str">
        <x:v>301498.SZ</x:v>
      </x:c>
      <x:c r="B82" s="82" t="str">
        <x:v>乖宝宠物</x:v>
      </x:c>
      <x:c r="C82" s="82" t="str">
        <x:v>历史深度低估</x:v>
      </x:c>
      <x:c r="D82" s="82" t="str">
        <x:v>VERY_CHEAP</x:v>
      </x:c>
      <x:c r="E82" s="82" t="str">
        <x:v>PARTIAL</x:v>
      </x:c>
      <x:c r="F82" s="82" t="str">
        <x:v>historical-valuation-v1.0.0</x:v>
      </x:c>
      <x:c r="G82" s="82" t="str">
        <x:v>TongDaXin historical PE/PB/dividend-yield cache</x:v>
      </x:c>
    </x:row>
    <x:row r="83" ht="15" hidden="0" customHeight="1">
      <x:c r="A83" s="83" t="str">
        <x:v>601117.SH</x:v>
      </x:c>
      <x:c r="B83" s="82" t="str">
        <x:v>中国化学</x:v>
      </x:c>
      <x:c r="C83" s="82" t="str">
        <x:v>历史深度低估</x:v>
      </x:c>
      <x:c r="D83" s="82" t="str">
        <x:v>VERY_CHEAP</x:v>
      </x:c>
      <x:c r="E83" s="82" t="str">
        <x:v>READY</x:v>
      </x:c>
      <x:c r="F83" s="82" t="str">
        <x:v>historical-valuation-v1.0.0</x:v>
      </x:c>
      <x:c r="G83" s="82" t="str">
        <x:v>TongDaXin historical PE/PB/dividend-yield cache</x:v>
      </x:c>
    </x:row>
    <x:row r="84" ht="15" hidden="0" customHeight="1">
      <x:c r="A84" s="83" t="str">
        <x:v>002847.SZ</x:v>
      </x:c>
      <x:c r="B84" s="82" t="str">
        <x:v>盐津铺子</x:v>
      </x:c>
      <x:c r="C84" s="82" t="str">
        <x:v>历史深度低估</x:v>
      </x:c>
      <x:c r="D84" s="82" t="str">
        <x:v>VERY_CHEAP</x:v>
      </x:c>
      <x:c r="E84" s="82" t="str">
        <x:v>READY</x:v>
      </x:c>
      <x:c r="F84" s="82" t="str">
        <x:v>historical-valuation-v1.0.0</x:v>
      </x:c>
      <x:c r="G84" s="82" t="str">
        <x:v>TongDaXin historical PE/PB/dividend-yield cache</x:v>
      </x:c>
    </x:row>
    <x:row r="85" ht="15" hidden="0" customHeight="1">
      <x:c r="A85" s="83" t="str">
        <x:v>000550.SZ</x:v>
      </x:c>
      <x:c r="B85" s="82" t="str">
        <x:v>江铃汽车</x:v>
      </x:c>
      <x:c r="C85" s="82" t="str">
        <x:v>历史深度低估</x:v>
      </x:c>
      <x:c r="D85" s="82" t="str">
        <x:v>VERY_CHEAP</x:v>
      </x:c>
      <x:c r="E85" s="82" t="str">
        <x:v>READY</x:v>
      </x:c>
      <x:c r="F85" s="82" t="str">
        <x:v>historical-valuation-v1.0.0</x:v>
      </x:c>
      <x:c r="G85" s="82" t="str">
        <x:v>TongDaXin historical PE/PB/dividend-yield cache</x:v>
      </x:c>
    </x:row>
    <x:row r="86" ht="15" hidden="0" customHeight="1">
      <x:c r="A86" s="83" t="str">
        <x:v>002668.SZ</x:v>
      </x:c>
      <x:c r="B86" s="82" t="str">
        <x:v>TCL智家</x:v>
      </x:c>
      <x:c r="C86" s="82" t="str">
        <x:v>历史深度低估</x:v>
      </x:c>
      <x:c r="D86" s="82" t="str">
        <x:v>VERY_CHEAP</x:v>
      </x:c>
      <x:c r="E86" s="82" t="str">
        <x:v>READY</x:v>
      </x:c>
      <x:c r="F86" s="82" t="str">
        <x:v>historical-valuation-v1.0.0</x:v>
      </x:c>
      <x:c r="G86" s="82" t="str">
        <x:v>TongDaXin historical PE/PB/dividend-yield cache</x:v>
      </x:c>
    </x:row>
    <x:row r="87" ht="15" hidden="0" customHeight="1">
      <x:c r="A87" s="83" t="str">
        <x:v>002116.SZ</x:v>
      </x:c>
      <x:c r="B87" s="82" t="str">
        <x:v>中国海诚</x:v>
      </x:c>
      <x:c r="C87" s="82" t="str">
        <x:v>历史深度低估</x:v>
      </x:c>
      <x:c r="D87" s="82" t="str">
        <x:v>VERY_CHEAP</x:v>
      </x:c>
      <x:c r="E87" s="82" t="str">
        <x:v>READY</x:v>
      </x:c>
      <x:c r="F87" s="82" t="str">
        <x:v>historical-valuation-v1.0.0</x:v>
      </x:c>
      <x:c r="G87" s="82" t="str">
        <x:v>TongDaXin historical PE/PB/dividend-yield cache</x:v>
      </x:c>
    </x:row>
    <x:row r="88" ht="15" hidden="0" customHeight="1">
      <x:c r="A88" s="83" t="str">
        <x:v>601808.SH</x:v>
      </x:c>
      <x:c r="B88" s="82" t="str">
        <x:v>中海油服</x:v>
      </x:c>
      <x:c r="C88" s="82" t="str">
        <x:v>历史深度低估</x:v>
      </x:c>
      <x:c r="D88" s="82" t="str">
        <x:v>VERY_CHEAP</x:v>
      </x:c>
      <x:c r="E88" s="82" t="str">
        <x:v>READY</x:v>
      </x:c>
      <x:c r="F88" s="82" t="str">
        <x:v>historical-valuation-v1.0.0</x:v>
      </x:c>
      <x:c r="G88" s="82" t="str">
        <x:v>TongDaXin historical PE/PB/dividend-yield cache</x:v>
      </x:c>
    </x:row>
    <x:row r="89" ht="15" hidden="0" customHeight="1">
      <x:c r="A89" s="83" t="str">
        <x:v>300770.SZ</x:v>
      </x:c>
      <x:c r="B89" s="82" t="str">
        <x:v>新媒股份</x:v>
      </x:c>
      <x:c r="C89" s="82" t="str">
        <x:v>历史深度低估</x:v>
      </x:c>
      <x:c r="D89" s="82" t="str">
        <x:v>VERY_CHEAP</x:v>
      </x:c>
      <x:c r="E89" s="82" t="str">
        <x:v>READY</x:v>
      </x:c>
      <x:c r="F89" s="82" t="str">
        <x:v>historical-valuation-v1.0.0</x:v>
      </x:c>
      <x:c r="G89" s="82" t="str">
        <x:v>TongDaXin historical PE/PB/dividend-yield cache</x:v>
      </x:c>
    </x:row>
    <x:row r="90" ht="15" hidden="0" customHeight="1">
      <x:c r="A90" s="83" t="str">
        <x:v>603105.SH</x:v>
      </x:c>
      <x:c r="B90" s="82" t="str">
        <x:v>芯能科技</x:v>
      </x:c>
      <x:c r="C90" s="82" t="str">
        <x:v>历史深度低估</x:v>
      </x:c>
      <x:c r="D90" s="82" t="str">
        <x:v>VERY_CHEAP</x:v>
      </x:c>
      <x:c r="E90" s="82" t="str">
        <x:v>READY</x:v>
      </x:c>
      <x:c r="F90" s="82" t="str">
        <x:v>historical-valuation-v1.0.0</x:v>
      </x:c>
      <x:c r="G90" s="82" t="str">
        <x:v>TongDaXin historical PE/PB/dividend-yield cache</x:v>
      </x:c>
    </x:row>
    <x:row r="91" ht="15" hidden="0" customHeight="1">
      <x:c r="A91" s="83" t="str">
        <x:v>603529.SH</x:v>
      </x:c>
      <x:c r="B91" s="82" t="str">
        <x:v>爱玛科技</x:v>
      </x:c>
      <x:c r="C91" s="82" t="str">
        <x:v>历史深度低估</x:v>
      </x:c>
      <x:c r="D91" s="82" t="str">
        <x:v>VERY_CHEAP</x:v>
      </x:c>
      <x:c r="E91" s="82" t="str">
        <x:v>READY</x:v>
      </x:c>
      <x:c r="F91" s="82" t="str">
        <x:v>historical-valuation-v1.0.0</x:v>
      </x:c>
      <x:c r="G91" s="82" t="str">
        <x:v>TongDaXin historical PE/PB/dividend-yield cache</x:v>
      </x:c>
    </x:row>
    <x:row r="92" ht="15" hidden="0" customHeight="1">
      <x:c r="A92" s="83" t="str">
        <x:v>301199.SZ</x:v>
      </x:c>
      <x:c r="B92" s="82" t="str">
        <x:v>迈赫股份</x:v>
      </x:c>
      <x:c r="C92" s="82" t="str">
        <x:v>历史深度低估</x:v>
      </x:c>
      <x:c r="D92" s="82" t="str">
        <x:v>VERY_CHEAP</x:v>
      </x:c>
      <x:c r="E92" s="82" t="str">
        <x:v>READY</x:v>
      </x:c>
      <x:c r="F92" s="82" t="str">
        <x:v>historical-valuation-v1.0.0</x:v>
      </x:c>
      <x:c r="G92" s="82" t="str">
        <x:v>TongDaXin historical PE/PB/dividend-yield cache</x:v>
      </x:c>
    </x:row>
    <x:row r="93" ht="15" hidden="0" customHeight="1">
      <x:c r="A93" s="83" t="str">
        <x:v>600517.SH</x:v>
      </x:c>
      <x:c r="B93" s="82" t="str">
        <x:v>国网英大</x:v>
      </x:c>
      <x:c r="C93" s="82" t="str">
        <x:v>历史深度低估</x:v>
      </x:c>
      <x:c r="D93" s="82" t="str">
        <x:v>VERY_CHEAP</x:v>
      </x:c>
      <x:c r="E93" s="82" t="str">
        <x:v>READY</x:v>
      </x:c>
      <x:c r="F93" s="82" t="str">
        <x:v>historical-valuation-v1.0.0</x:v>
      </x:c>
      <x:c r="G93" s="82" t="str">
        <x:v>TongDaXin historical PE/PB/dividend-yield cache</x:v>
      </x:c>
    </x:row>
    <x:row r="94" ht="15" hidden="0" customHeight="1">
      <x:c r="A94" s="83" t="str">
        <x:v>600009.SH</x:v>
      </x:c>
      <x:c r="B94" s="82" t="str">
        <x:v>上海机场</x:v>
      </x:c>
      <x:c r="C94" s="82" t="str">
        <x:v>历史深度低估</x:v>
      </x:c>
      <x:c r="D94" s="82" t="str">
        <x:v>VERY_CHEAP</x:v>
      </x:c>
      <x:c r="E94" s="82" t="str">
        <x:v>READY</x:v>
      </x:c>
      <x:c r="F94" s="82" t="str">
        <x:v>historical-valuation-v1.0.0</x:v>
      </x:c>
      <x:c r="G94" s="82" t="str">
        <x:v>TongDaXin historical PE/PB/dividend-yield cache</x:v>
      </x:c>
    </x:row>
    <x:row r="95" ht="15" hidden="0" customHeight="1">
      <x:c r="A95" s="83" t="str">
        <x:v>301078.SZ</x:v>
      </x:c>
      <x:c r="B95" s="82" t="str">
        <x:v>孩子王</x:v>
      </x:c>
      <x:c r="C95" s="82" t="str">
        <x:v>历史深度低估</x:v>
      </x:c>
      <x:c r="D95" s="82" t="str">
        <x:v>VERY_CHEAP</x:v>
      </x:c>
      <x:c r="E95" s="82" t="str">
        <x:v>READY</x:v>
      </x:c>
      <x:c r="F95" s="82" t="str">
        <x:v>historical-valuation-v1.0.0</x:v>
      </x:c>
      <x:c r="G95" s="82" t="str">
        <x:v>TongDaXin historical PE/PB/dividend-yield cache</x:v>
      </x:c>
    </x:row>
    <x:row r="96" ht="15" hidden="0" customHeight="1">
      <x:c r="A96" s="83" t="str">
        <x:v>300320.SZ</x:v>
      </x:c>
      <x:c r="B96" s="82" t="str">
        <x:v>海达股份</x:v>
      </x:c>
      <x:c r="C96" s="82" t="str">
        <x:v>历史深度低估</x:v>
      </x:c>
      <x:c r="D96" s="82" t="str">
        <x:v>VERY_CHEAP</x:v>
      </x:c>
      <x:c r="E96" s="82" t="str">
        <x:v>READY</x:v>
      </x:c>
      <x:c r="F96" s="82" t="str">
        <x:v>historical-valuation-v1.0.0</x:v>
      </x:c>
      <x:c r="G96" s="82" t="str">
        <x:v>TongDaXin historical PE/PB/dividend-yield cache</x:v>
      </x:c>
    </x:row>
    <x:row r="97" ht="15" hidden="0" customHeight="1">
      <x:c r="A97" s="83" t="str">
        <x:v>600132.SH</x:v>
      </x:c>
      <x:c r="B97" s="82" t="str">
        <x:v>重庆啤酒</x:v>
      </x:c>
      <x:c r="C97" s="82" t="str">
        <x:v>历史深度低估</x:v>
      </x:c>
      <x:c r="D97" s="82" t="str">
        <x:v>VERY_CHEAP</x:v>
      </x:c>
      <x:c r="E97" s="82" t="str">
        <x:v>READY</x:v>
      </x:c>
      <x:c r="F97" s="82" t="str">
        <x:v>historical-valuation-v1.0.0</x:v>
      </x:c>
      <x:c r="G97" s="82" t="str">
        <x:v>TongDaXin historical PE/PB/dividend-yield cache</x:v>
      </x:c>
    </x:row>
    <x:row r="98" ht="15" hidden="0" customHeight="1">
      <x:c r="A98" s="83" t="str">
        <x:v>600754.SH</x:v>
      </x:c>
      <x:c r="B98" s="82" t="str">
        <x:v>锦江酒店</x:v>
      </x:c>
      <x:c r="C98" s="82" t="str">
        <x:v>历史深度低估</x:v>
      </x:c>
      <x:c r="D98" s="82" t="str">
        <x:v>VERY_CHEAP</x:v>
      </x:c>
      <x:c r="E98" s="82" t="str">
        <x:v>READY</x:v>
      </x:c>
      <x:c r="F98" s="82" t="str">
        <x:v>historical-valuation-v1.0.0</x:v>
      </x:c>
      <x:c r="G98" s="82" t="str">
        <x:v>TongDaXin historical PE/PB/dividend-yield cache</x:v>
      </x:c>
    </x:row>
    <x:row r="99" ht="15" hidden="0" customHeight="1">
      <x:c r="A99" s="83" t="str">
        <x:v>002507.SZ</x:v>
      </x:c>
      <x:c r="B99" s="82" t="str">
        <x:v>涪陵榨菜</x:v>
      </x:c>
      <x:c r="C99" s="82" t="str">
        <x:v>历史深度低估</x:v>
      </x:c>
      <x:c r="D99" s="82" t="str">
        <x:v>VERY_CHEAP</x:v>
      </x:c>
      <x:c r="E99" s="82" t="str">
        <x:v>READY</x:v>
      </x:c>
      <x:c r="F99" s="82" t="str">
        <x:v>historical-valuation-v1.0.0</x:v>
      </x:c>
      <x:c r="G99" s="82" t="str">
        <x:v>TongDaXin historical PE/PB/dividend-yield cache</x:v>
      </x:c>
    </x:row>
    <x:row r="100" ht="15" hidden="0" customHeight="1">
      <x:c r="A100" s="83" t="str">
        <x:v>601311.SH</x:v>
      </x:c>
      <x:c r="B100" s="82" t="str">
        <x:v>骆驼股份</x:v>
      </x:c>
      <x:c r="C100" s="82" t="str">
        <x:v>历史深度低估</x:v>
      </x:c>
      <x:c r="D100" s="82" t="str">
        <x:v>VERY_CHEAP</x:v>
      </x:c>
      <x:c r="E100" s="82" t="str">
        <x:v>READY</x:v>
      </x:c>
      <x:c r="F100" s="82" t="str">
        <x:v>historical-valuation-v1.0.0</x:v>
      </x:c>
      <x:c r="G100" s="82" t="str">
        <x:v>TongDaXin historical PE/PB/dividend-yield cache</x:v>
      </x:c>
    </x:row>
    <x:row r="101" ht="15" hidden="0" customHeight="1">
      <x:c r="A101" s="83" t="str">
        <x:v>301101.SZ</x:v>
      </x:c>
      <x:c r="B101" s="82" t="str">
        <x:v>明月镜片</x:v>
      </x:c>
      <x:c r="C101" s="82" t="str">
        <x:v>历史深度低估</x:v>
      </x:c>
      <x:c r="D101" s="82" t="str">
        <x:v>VERY_CHEAP</x:v>
      </x:c>
      <x:c r="E101" s="82" t="str">
        <x:v>READY</x:v>
      </x:c>
      <x:c r="F101" s="82" t="str">
        <x:v>historical-valuation-v1.0.0</x:v>
      </x:c>
      <x:c r="G101" s="82" t="str">
        <x:v>TongDaXin historical PE/PB/dividend-yield cache</x:v>
      </x:c>
    </x:row>
    <x:row r="102" ht="15" hidden="0" customHeight="1">
      <x:c r="A102" s="83" t="str">
        <x:v>000913.SZ</x:v>
      </x:c>
      <x:c r="B102" s="82" t="str">
        <x:v>钱江摩托</x:v>
      </x:c>
      <x:c r="C102" s="82" t="str">
        <x:v>历史深度低估</x:v>
      </x:c>
      <x:c r="D102" s="82" t="str">
        <x:v>VERY_CHEAP</x:v>
      </x:c>
      <x:c r="E102" s="82" t="str">
        <x:v>READY</x:v>
      </x:c>
      <x:c r="F102" s="82" t="str">
        <x:v>historical-valuation-v1.0.0</x:v>
      </x:c>
      <x:c r="G102" s="82" t="str">
        <x:v>TongDaXin historical PE/PB/dividend-yield cache</x:v>
      </x:c>
    </x:row>
    <x:row r="103" ht="15" hidden="0" customHeight="1">
      <x:c r="A103" s="83" t="str">
        <x:v>603043.SH</x:v>
      </x:c>
      <x:c r="B103" s="82" t="str">
        <x:v>广州酒家</x:v>
      </x:c>
      <x:c r="C103" s="82" t="str">
        <x:v>历史深度低估</x:v>
      </x:c>
      <x:c r="D103" s="82" t="str">
        <x:v>VERY_CHEAP</x:v>
      </x:c>
      <x:c r="E103" s="82" t="str">
        <x:v>READY</x:v>
      </x:c>
      <x:c r="F103" s="82" t="str">
        <x:v>historical-valuation-v1.0.0</x:v>
      </x:c>
      <x:c r="G103" s="82" t="str">
        <x:v>TongDaXin historical PE/PB/dividend-yield cache</x:v>
      </x:c>
    </x:row>
    <x:row r="104" ht="15" hidden="0" customHeight="1">
      <x:c r="A104" s="83" t="str">
        <x:v>000563.SZ</x:v>
      </x:c>
      <x:c r="B104" s="82" t="str">
        <x:v>陕国投Ａ</x:v>
      </x:c>
      <x:c r="C104" s="82" t="str">
        <x:v>历史深度低估</x:v>
      </x:c>
      <x:c r="D104" s="82" t="str">
        <x:v>VERY_CHEAP</x:v>
      </x:c>
      <x:c r="E104" s="82" t="str">
        <x:v>READY</x:v>
      </x:c>
      <x:c r="F104" s="82" t="str">
        <x:v>historical-valuation-v1.0.0</x:v>
      </x:c>
      <x:c r="G104" s="82" t="str">
        <x:v>TongDaXin historical PE/PB/dividend-yield cache</x:v>
      </x:c>
    </x:row>
    <x:row r="105" ht="15" hidden="0" customHeight="1">
      <x:c r="A105" s="83" t="str">
        <x:v>600004.SH</x:v>
      </x:c>
      <x:c r="B105" s="82" t="str">
        <x:v>白云机场</x:v>
      </x:c>
      <x:c r="C105" s="82" t="str">
        <x:v>历史深度低估</x:v>
      </x:c>
      <x:c r="D105" s="82" t="str">
        <x:v>VERY_CHEAP</x:v>
      </x:c>
      <x:c r="E105" s="82" t="str">
        <x:v>READY</x:v>
      </x:c>
      <x:c r="F105" s="82" t="str">
        <x:v>historical-valuation-v1.0.0</x:v>
      </x:c>
      <x:c r="G105" s="82" t="str">
        <x:v>TongDaXin historical PE/PB/dividend-yield cache</x:v>
      </x:c>
    </x:row>
    <x:row r="106" ht="15" hidden="0" customHeight="1">
      <x:c r="A106" s="83" t="str">
        <x:v>002961.SZ</x:v>
      </x:c>
      <x:c r="B106" s="82" t="str">
        <x:v>瑞达期货</x:v>
      </x:c>
      <x:c r="C106" s="82" t="str">
        <x:v>历史深度低估</x:v>
      </x:c>
      <x:c r="D106" s="82" t="str">
        <x:v>VERY_CHEAP</x:v>
      </x:c>
      <x:c r="E106" s="82" t="str">
        <x:v>READY</x:v>
      </x:c>
      <x:c r="F106" s="82" t="str">
        <x:v>historical-valuation-v1.0.0</x:v>
      </x:c>
      <x:c r="G106" s="82" t="str">
        <x:v>TongDaXin historical PE/PB/dividend-yield cache</x:v>
      </x:c>
    </x:row>
    <x:row r="107" ht="15" hidden="0" customHeight="1">
      <x:c r="A107" s="83" t="str">
        <x:v>002511.SZ</x:v>
      </x:c>
      <x:c r="B107" s="82" t="str">
        <x:v>中顺洁柔</x:v>
      </x:c>
      <x:c r="C107" s="82" t="str">
        <x:v>历史深度低估</x:v>
      </x:c>
      <x:c r="D107" s="82" t="str">
        <x:v>VERY_CHEAP</x:v>
      </x:c>
      <x:c r="E107" s="82" t="str">
        <x:v>READY</x:v>
      </x:c>
      <x:c r="F107" s="82" t="str">
        <x:v>historical-valuation-v1.0.0</x:v>
      </x:c>
      <x:c r="G107" s="82" t="str">
        <x:v>TongDaXin historical PE/PB/dividend-yield cache</x:v>
      </x:c>
    </x:row>
    <x:row r="108" ht="15" hidden="0" customHeight="1">
      <x:c r="A108" s="83" t="str">
        <x:v>601128.SH</x:v>
      </x:c>
      <x:c r="B108" s="82" t="str">
        <x:v>常熟银行</x:v>
      </x:c>
      <x:c r="C108" s="82" t="str">
        <x:v>历史深度低估</x:v>
      </x:c>
      <x:c r="D108" s="82" t="str">
        <x:v>VERY_CHEAP</x:v>
      </x:c>
      <x:c r="E108" s="82" t="str">
        <x:v>READY</x:v>
      </x:c>
      <x:c r="F108" s="82" t="str">
        <x:v>historical-valuation-v1.0.0</x:v>
      </x:c>
      <x:c r="G108" s="82" t="str">
        <x:v>TongDaXin historical PE/PB/dividend-yield cache</x:v>
      </x:c>
    </x:row>
    <x:row r="109" ht="15" hidden="0" customHeight="1">
      <x:c r="A109" s="83" t="str">
        <x:v>603708.SH</x:v>
      </x:c>
      <x:c r="B109" s="82" t="str">
        <x:v>家家悦</x:v>
      </x:c>
      <x:c r="C109" s="82" t="str">
        <x:v>历史深度低估</x:v>
      </x:c>
      <x:c r="D109" s="82" t="str">
        <x:v>VERY_CHEAP</x:v>
      </x:c>
      <x:c r="E109" s="82" t="str">
        <x:v>READY</x:v>
      </x:c>
      <x:c r="F109" s="82" t="str">
        <x:v>historical-valuation-v1.0.0</x:v>
      </x:c>
      <x:c r="G109" s="82" t="str">
        <x:v>TongDaXin historical PE/PB/dividend-yield cache</x:v>
      </x:c>
    </x:row>
    <x:row r="110" ht="15" hidden="0" customHeight="1">
      <x:c r="A110" s="83" t="str">
        <x:v>600861.SH</x:v>
      </x:c>
      <x:c r="B110" s="82" t="str">
        <x:v>北京人力</x:v>
      </x:c>
      <x:c r="C110" s="82" t="str">
        <x:v>历史深度低估</x:v>
      </x:c>
      <x:c r="D110" s="82" t="str">
        <x:v>VERY_CHEAP</x:v>
      </x:c>
      <x:c r="E110" s="82" t="str">
        <x:v>READY</x:v>
      </x:c>
      <x:c r="F110" s="82" t="str">
        <x:v>historical-valuation-v1.0.0</x:v>
      </x:c>
      <x:c r="G110" s="82" t="str">
        <x:v>TongDaXin historical PE/PB/dividend-yield cache</x:v>
      </x:c>
    </x:row>
    <x:row r="111" ht="15" hidden="0" customHeight="1">
      <x:c r="A111" s="83" t="str">
        <x:v>002616.SZ</x:v>
      </x:c>
      <x:c r="B111" s="82" t="str">
        <x:v>长青集团</x:v>
      </x:c>
      <x:c r="C111" s="82" t="str">
        <x:v>历史深度低估</x:v>
      </x:c>
      <x:c r="D111" s="82" t="str">
        <x:v>VERY_CHEAP</x:v>
      </x:c>
      <x:c r="E111" s="82" t="str">
        <x:v>READY</x:v>
      </x:c>
      <x:c r="F111" s="82" t="str">
        <x:v>historical-valuation-v1.0.0</x:v>
      </x:c>
      <x:c r="G111" s="82" t="str">
        <x:v>TongDaXin historical PE/PB/dividend-yield cache</x:v>
      </x:c>
    </x:row>
    <x:row r="112" ht="15" hidden="0" customHeight="1">
      <x:c r="A112" s="83" t="str">
        <x:v>002140.SZ</x:v>
      </x:c>
      <x:c r="B112" s="82" t="str">
        <x:v>东华科技</x:v>
      </x:c>
      <x:c r="C112" s="82" t="str">
        <x:v>历史深度低估</x:v>
      </x:c>
      <x:c r="D112" s="82" t="str">
        <x:v>VERY_CHEAP</x:v>
      </x:c>
      <x:c r="E112" s="82" t="str">
        <x:v>READY</x:v>
      </x:c>
      <x:c r="F112" s="82" t="str">
        <x:v>historical-valuation-v1.0.0</x:v>
      </x:c>
      <x:c r="G112" s="82" t="str">
        <x:v>TongDaXin historical PE/PB/dividend-yield cache</x:v>
      </x:c>
    </x:row>
    <x:row r="113" ht="15" hidden="0" customHeight="1">
      <x:c r="A113" s="83" t="str">
        <x:v>001914.SZ</x:v>
      </x:c>
      <x:c r="B113" s="82" t="str">
        <x:v>招商积余</x:v>
      </x:c>
      <x:c r="C113" s="82" t="str">
        <x:v>历史深度低估</x:v>
      </x:c>
      <x:c r="D113" s="82" t="str">
        <x:v>VERY_CHEAP</x:v>
      </x:c>
      <x:c r="E113" s="82" t="str">
        <x:v>READY</x:v>
      </x:c>
      <x:c r="F113" s="82" t="str">
        <x:v>historical-valuation-v1.0.0</x:v>
      </x:c>
      <x:c r="G113" s="82" t="str">
        <x:v>TongDaXin historical PE/PB/dividend-yield cache</x:v>
      </x:c>
    </x:row>
    <x:row r="114" ht="15" hidden="0" customHeight="1">
      <x:c r="A114" s="83" t="str">
        <x:v>002352.SZ</x:v>
      </x:c>
      <x:c r="B114" s="82" t="str">
        <x:v>顺丰控股</x:v>
      </x:c>
      <x:c r="C114" s="82" t="str">
        <x:v>历史深度低估</x:v>
      </x:c>
      <x:c r="D114" s="82" t="str">
        <x:v>VERY_CHEAP</x:v>
      </x:c>
      <x:c r="E114" s="82" t="str">
        <x:v>READY</x:v>
      </x:c>
      <x:c r="F114" s="82" t="str">
        <x:v>historical-valuation-v1.0.0</x:v>
      </x:c>
      <x:c r="G114" s="82" t="str">
        <x:v>TongDaXin historical PE/PB/dividend-yield cache</x:v>
      </x:c>
    </x:row>
    <x:row r="115" ht="15" hidden="0" customHeight="1">
      <x:c r="A115" s="83" t="str">
        <x:v>601686.SH</x:v>
      </x:c>
      <x:c r="B115" s="82" t="str">
        <x:v>友发集团</x:v>
      </x:c>
      <x:c r="C115" s="82" t="str">
        <x:v>历史深度低估</x:v>
      </x:c>
      <x:c r="D115" s="82" t="str">
        <x:v>VERY_CHEAP</x:v>
      </x:c>
      <x:c r="E115" s="82" t="str">
        <x:v>READY</x:v>
      </x:c>
      <x:c r="F115" s="82" t="str">
        <x:v>historical-valuation-v1.0.0</x:v>
      </x:c>
      <x:c r="G115" s="82" t="str">
        <x:v>TongDaXin historical PE/PB/dividend-yield cache</x:v>
      </x:c>
    </x:row>
    <x:row r="116" ht="15" hidden="0" customHeight="1">
      <x:c r="A116" s="83" t="str">
        <x:v>603737.SH</x:v>
      </x:c>
      <x:c r="B116" s="82" t="str">
        <x:v>三棵树</x:v>
      </x:c>
      <x:c r="C116" s="82" t="str">
        <x:v>历史深度低估</x:v>
      </x:c>
      <x:c r="D116" s="82" t="str">
        <x:v>VERY_CHEAP</x:v>
      </x:c>
      <x:c r="E116" s="82" t="str">
        <x:v>READY</x:v>
      </x:c>
      <x:c r="F116" s="82" t="str">
        <x:v>historical-valuation-v1.0.0</x:v>
      </x:c>
      <x:c r="G116" s="82" t="str">
        <x:v>TongDaXin historical PE/PB/dividend-yield cache</x:v>
      </x:c>
    </x:row>
    <x:row r="117" ht="15" hidden="0" customHeight="1">
      <x:c r="A117" s="83" t="str">
        <x:v>300226.SZ</x:v>
      </x:c>
      <x:c r="B117" s="82" t="str">
        <x:v>上海钢联</x:v>
      </x:c>
      <x:c r="C117" s="82" t="str">
        <x:v>历史深度低估</x:v>
      </x:c>
      <x:c r="D117" s="82" t="str">
        <x:v>VERY_CHEAP</x:v>
      </x:c>
      <x:c r="E117" s="82" t="str">
        <x:v>READY</x:v>
      </x:c>
      <x:c r="F117" s="82" t="str">
        <x:v>historical-valuation-v1.0.0</x:v>
      </x:c>
      <x:c r="G117" s="82" t="str">
        <x:v>TongDaXin historical PE/PB/dividend-yield cache</x:v>
      </x:c>
    </x:row>
    <x:row r="118" ht="15" hidden="0" customHeight="1">
      <x:c r="A118" s="83" t="str">
        <x:v>920982.BJ</x:v>
      </x:c>
      <x:c r="B118" s="82" t="str">
        <x:v>锦波生物</x:v>
      </x:c>
      <x:c r="C118" s="82" t="str">
        <x:v>历史深度低估</x:v>
      </x:c>
      <x:c r="D118" s="82" t="str">
        <x:v>VERY_CHEAP</x:v>
      </x:c>
      <x:c r="E118" s="82" t="str">
        <x:v>PARTIAL</x:v>
      </x:c>
      <x:c r="F118" s="82" t="str">
        <x:v>historical-valuation-v1.0.0</x:v>
      </x:c>
      <x:c r="G118" s="82" t="str">
        <x:v>TongDaXin historical PE/PB/dividend-yield cache</x:v>
      </x:c>
    </x:row>
    <x:row r="119" ht="15" hidden="0" customHeight="1">
      <x:c r="A119" s="83" t="str">
        <x:v>002508.SZ</x:v>
      </x:c>
      <x:c r="B119" s="82" t="str">
        <x:v>老板电器</x:v>
      </x:c>
      <x:c r="C119" s="82" t="str">
        <x:v>历史低估关注</x:v>
      </x:c>
      <x:c r="D119" s="82" t="str">
        <x:v>CHEAP</x:v>
      </x:c>
      <x:c r="E119" s="82" t="str">
        <x:v>READY</x:v>
      </x:c>
      <x:c r="F119" s="82" t="str">
        <x:v>historical-valuation-v1.0.0</x:v>
      </x:c>
      <x:c r="G119" s="82" t="str">
        <x:v>TongDaXin historical PE/PB/dividend-yield cache</x:v>
      </x:c>
    </x:row>
    <x:row r="120" ht="15" hidden="0" customHeight="1">
      <x:c r="A120" s="83" t="str">
        <x:v>002078.SZ</x:v>
      </x:c>
      <x:c r="B120" s="82" t="str">
        <x:v>太阳纸业</x:v>
      </x:c>
      <x:c r="C120" s="82" t="str">
        <x:v>历史低估关注</x:v>
      </x:c>
      <x:c r="D120" s="82" t="str">
        <x:v>CHEAP</x:v>
      </x:c>
      <x:c r="E120" s="82" t="str">
        <x:v>READY</x:v>
      </x:c>
      <x:c r="F120" s="82" t="str">
        <x:v>historical-valuation-v1.0.0</x:v>
      </x:c>
      <x:c r="G120" s="82" t="str">
        <x:v>TongDaXin historical PE/PB/dividend-yield cache</x:v>
      </x:c>
    </x:row>
    <x:row r="121" ht="15" hidden="0" customHeight="1">
      <x:c r="A121" s="83" t="str">
        <x:v>600987.SH</x:v>
      </x:c>
      <x:c r="B121" s="82" t="str">
        <x:v>航民股份</x:v>
      </x:c>
      <x:c r="C121" s="82" t="str">
        <x:v>历史低估关注</x:v>
      </x:c>
      <x:c r="D121" s="82" t="str">
        <x:v>CHEAP</x:v>
      </x:c>
      <x:c r="E121" s="82" t="str">
        <x:v>READY</x:v>
      </x:c>
      <x:c r="F121" s="82" t="str">
        <x:v>historical-valuation-v1.0.0</x:v>
      </x:c>
      <x:c r="G121" s="82" t="str">
        <x:v>TongDaXin historical PE/PB/dividend-yield cache</x:v>
      </x:c>
    </x:row>
    <x:row r="122" ht="15" hidden="0" customHeight="1">
      <x:c r="A122" s="83" t="str">
        <x:v>300413.SZ</x:v>
      </x:c>
      <x:c r="B122" s="82" t="str">
        <x:v>芒果超媒</x:v>
      </x:c>
      <x:c r="C122" s="82" t="str">
        <x:v>历史低估关注</x:v>
      </x:c>
      <x:c r="D122" s="82" t="str">
        <x:v>CHEAP</x:v>
      </x:c>
      <x:c r="E122" s="82" t="str">
        <x:v>READY</x:v>
      </x:c>
      <x:c r="F122" s="82" t="str">
        <x:v>historical-valuation-v1.0.0</x:v>
      </x:c>
      <x:c r="G122" s="82" t="str">
        <x:v>TongDaXin historical PE/PB/dividend-yield cache</x:v>
      </x:c>
    </x:row>
    <x:row r="123" ht="15" hidden="0" customHeight="1">
      <x:c r="A123" s="83" t="str">
        <x:v>600989.SH</x:v>
      </x:c>
      <x:c r="B123" s="82" t="str">
        <x:v>宝丰能源</x:v>
      </x:c>
      <x:c r="C123" s="82" t="str">
        <x:v>历史低估关注</x:v>
      </x:c>
      <x:c r="D123" s="82" t="str">
        <x:v>CHEAP</x:v>
      </x:c>
      <x:c r="E123" s="82" t="str">
        <x:v>READY</x:v>
      </x:c>
      <x:c r="F123" s="82" t="str">
        <x:v>historical-valuation-v1.0.0</x:v>
      </x:c>
      <x:c r="G123" s="82" t="str">
        <x:v>TongDaXin historical PE/PB/dividend-yield cache</x:v>
      </x:c>
    </x:row>
    <x:row r="124" ht="15" hidden="0" customHeight="1">
      <x:c r="A124" s="83" t="str">
        <x:v>601216.SH</x:v>
      </x:c>
      <x:c r="B124" s="82" t="str">
        <x:v>君正集团</x:v>
      </x:c>
      <x:c r="C124" s="82" t="str">
        <x:v>历史低估关注</x:v>
      </x:c>
      <x:c r="D124" s="82" t="str">
        <x:v>CHEAP</x:v>
      </x:c>
      <x:c r="E124" s="82" t="str">
        <x:v>READY</x:v>
      </x:c>
      <x:c r="F124" s="82" t="str">
        <x:v>historical-valuation-v1.0.0</x:v>
      </x:c>
      <x:c r="G124" s="82" t="str">
        <x:v>TongDaXin historical PE/PB/dividend-yield cache</x:v>
      </x:c>
    </x:row>
    <x:row r="125" ht="15" hidden="0" customHeight="1">
      <x:c r="A125" s="83" t="str">
        <x:v>300750.SZ</x:v>
      </x:c>
      <x:c r="B125" s="82" t="str">
        <x:v>宁德时代</x:v>
      </x:c>
      <x:c r="C125" s="82" t="str">
        <x:v>历史低估关注</x:v>
      </x:c>
      <x:c r="D125" s="82" t="str">
        <x:v>CHEAP</x:v>
      </x:c>
      <x:c r="E125" s="82" t="str">
        <x:v>READY</x:v>
      </x:c>
      <x:c r="F125" s="82" t="str">
        <x:v>historical-valuation-v1.0.0</x:v>
      </x:c>
      <x:c r="G125" s="82" t="str">
        <x:v>TongDaXin historical PE/PB/dividend-yield cache</x:v>
      </x:c>
    </x:row>
    <x:row r="126" ht="15" hidden="0" customHeight="1">
      <x:c r="A126" s="83" t="str">
        <x:v>601668.SH</x:v>
      </x:c>
      <x:c r="B126" s="82" t="str">
        <x:v>中国建筑</x:v>
      </x:c>
      <x:c r="C126" s="82" t="str">
        <x:v>历史低估关注</x:v>
      </x:c>
      <x:c r="D126" s="82" t="str">
        <x:v>CHEAP</x:v>
      </x:c>
      <x:c r="E126" s="82" t="str">
        <x:v>READY</x:v>
      </x:c>
      <x:c r="F126" s="82" t="str">
        <x:v>historical-valuation-v1.0.0</x:v>
      </x:c>
      <x:c r="G126" s="82" t="str">
        <x:v>TongDaXin historical PE/PB/dividend-yield cache</x:v>
      </x:c>
    </x:row>
    <x:row r="127" ht="15" hidden="0" customHeight="1">
      <x:c r="A127" s="83" t="str">
        <x:v>600483.SH</x:v>
      </x:c>
      <x:c r="B127" s="82" t="str">
        <x:v>福能股份</x:v>
      </x:c>
      <x:c r="C127" s="82" t="str">
        <x:v>历史低估关注</x:v>
      </x:c>
      <x:c r="D127" s="82" t="str">
        <x:v>CHEAP</x:v>
      </x:c>
      <x:c r="E127" s="82" t="str">
        <x:v>READY</x:v>
      </x:c>
      <x:c r="F127" s="82" t="str">
        <x:v>historical-valuation-v1.0.0</x:v>
      </x:c>
      <x:c r="G127" s="82" t="str">
        <x:v>TongDaXin historical PE/PB/dividend-yield cache</x:v>
      </x:c>
    </x:row>
    <x:row r="128" ht="15" hidden="0" customHeight="1">
      <x:c r="A128" s="83" t="str">
        <x:v>002003.SZ</x:v>
      </x:c>
      <x:c r="B128" s="82" t="str">
        <x:v>伟星股份</x:v>
      </x:c>
      <x:c r="C128" s="82" t="str">
        <x:v>历史低估关注</x:v>
      </x:c>
      <x:c r="D128" s="82" t="str">
        <x:v>CHEAP</x:v>
      </x:c>
      <x:c r="E128" s="82" t="str">
        <x:v>READY</x:v>
      </x:c>
      <x:c r="F128" s="82" t="str">
        <x:v>historical-valuation-v1.0.0</x:v>
      </x:c>
      <x:c r="G128" s="82" t="str">
        <x:v>TongDaXin historical PE/PB/dividend-yield cache</x:v>
      </x:c>
    </x:row>
    <x:row r="129" ht="15" hidden="0" customHeight="1">
      <x:c r="A129" s="83" t="str">
        <x:v>002315.SZ</x:v>
      </x:c>
      <x:c r="B129" s="82" t="str">
        <x:v>焦点科技</x:v>
      </x:c>
      <x:c r="C129" s="82" t="str">
        <x:v>历史低估关注</x:v>
      </x:c>
      <x:c r="D129" s="82" t="str">
        <x:v>CHEAP</x:v>
      </x:c>
      <x:c r="E129" s="82" t="str">
        <x:v>READY</x:v>
      </x:c>
      <x:c r="F129" s="82" t="str">
        <x:v>historical-valuation-v1.0.0</x:v>
      </x:c>
      <x:c r="G129" s="82" t="str">
        <x:v>TongDaXin historical PE/PB/dividend-yield cache</x:v>
      </x:c>
    </x:row>
    <x:row r="130" ht="15" hidden="0" customHeight="1">
      <x:c r="A130" s="83" t="str">
        <x:v>002444.SZ</x:v>
      </x:c>
      <x:c r="B130" s="82" t="str">
        <x:v>巨星科技</x:v>
      </x:c>
      <x:c r="C130" s="82" t="str">
        <x:v>历史低估关注</x:v>
      </x:c>
      <x:c r="D130" s="82" t="str">
        <x:v>CHEAP</x:v>
      </x:c>
      <x:c r="E130" s="82" t="str">
        <x:v>READY</x:v>
      </x:c>
      <x:c r="F130" s="82" t="str">
        <x:v>historical-valuation-v1.0.0</x:v>
      </x:c>
      <x:c r="G130" s="82" t="str">
        <x:v>TongDaXin historical PE/PB/dividend-yield cache</x:v>
      </x:c>
    </x:row>
    <x:row r="131" ht="15" hidden="0" customHeight="1">
      <x:c r="A131" s="83" t="str">
        <x:v>603345.SH</x:v>
      </x:c>
      <x:c r="B131" s="82" t="str">
        <x:v>安井食品</x:v>
      </x:c>
      <x:c r="C131" s="82" t="str">
        <x:v>历史低估关注</x:v>
      </x:c>
      <x:c r="D131" s="82" t="str">
        <x:v>CHEAP</x:v>
      </x:c>
      <x:c r="E131" s="82" t="str">
        <x:v>READY</x:v>
      </x:c>
      <x:c r="F131" s="82" t="str">
        <x:v>historical-valuation-v1.0.0</x:v>
      </x:c>
      <x:c r="G131" s="82" t="str">
        <x:v>TongDaXin historical PE/PB/dividend-yield cache</x:v>
      </x:c>
    </x:row>
    <x:row r="132" ht="15" hidden="0" customHeight="1">
      <x:c r="A132" s="83" t="str">
        <x:v>002063.SZ</x:v>
      </x:c>
      <x:c r="B132" s="82" t="str">
        <x:v>远光软件</x:v>
      </x:c>
      <x:c r="C132" s="82" t="str">
        <x:v>历史低估关注</x:v>
      </x:c>
      <x:c r="D132" s="82" t="str">
        <x:v>CHEAP</x:v>
      </x:c>
      <x:c r="E132" s="82" t="str">
        <x:v>READY</x:v>
      </x:c>
      <x:c r="F132" s="82" t="str">
        <x:v>historical-valuation-v1.0.0</x:v>
      </x:c>
      <x:c r="G132" s="82" t="str">
        <x:v>TongDaXin historical PE/PB/dividend-yield cache</x:v>
      </x:c>
    </x:row>
    <x:row r="133" ht="15" hidden="0" customHeight="1">
      <x:c r="A133" s="83" t="str">
        <x:v>000544.SZ</x:v>
      </x:c>
      <x:c r="B133" s="82" t="str">
        <x:v>中原环保</x:v>
      </x:c>
      <x:c r="C133" s="82" t="str">
        <x:v>历史低估关注</x:v>
      </x:c>
      <x:c r="D133" s="82" t="str">
        <x:v>CHEAP</x:v>
      </x:c>
      <x:c r="E133" s="82" t="str">
        <x:v>READY</x:v>
      </x:c>
      <x:c r="F133" s="82" t="str">
        <x:v>historical-valuation-v1.0.0</x:v>
      </x:c>
      <x:c r="G133" s="82" t="str">
        <x:v>TongDaXin historical PE/PB/dividend-yield cache</x:v>
      </x:c>
    </x:row>
    <x:row r="134" ht="15" hidden="0" customHeight="1">
      <x:c r="A134" s="83" t="str">
        <x:v>300832.SZ</x:v>
      </x:c>
      <x:c r="B134" s="82" t="str">
        <x:v>新产业</x:v>
      </x:c>
      <x:c r="C134" s="82" t="str">
        <x:v>历史低估关注</x:v>
      </x:c>
      <x:c r="D134" s="82" t="str">
        <x:v>CHEAP</x:v>
      </x:c>
      <x:c r="E134" s="82" t="str">
        <x:v>READY</x:v>
      </x:c>
      <x:c r="F134" s="82" t="str">
        <x:v>historical-valuation-v1.0.0</x:v>
      </x:c>
      <x:c r="G134" s="82" t="str">
        <x:v>TongDaXin historical PE/PB/dividend-yield cache</x:v>
      </x:c>
    </x:row>
    <x:row r="135" ht="15" hidden="0" customHeight="1">
      <x:c r="A135" s="83" t="str">
        <x:v>002415.SZ</x:v>
      </x:c>
      <x:c r="B135" s="82" t="str">
        <x:v>海康威视</x:v>
      </x:c>
      <x:c r="C135" s="82" t="str">
        <x:v>历史低估关注</x:v>
      </x:c>
      <x:c r="D135" s="82" t="str">
        <x:v>CHEAP</x:v>
      </x:c>
      <x:c r="E135" s="82" t="str">
        <x:v>READY</x:v>
      </x:c>
      <x:c r="F135" s="82" t="str">
        <x:v>historical-valuation-v1.0.0</x:v>
      </x:c>
      <x:c r="G135" s="82" t="str">
        <x:v>TongDaXin historical PE/PB/dividend-yield cache</x:v>
      </x:c>
    </x:row>
    <x:row r="136" ht="15" hidden="0" customHeight="1">
      <x:c r="A136" s="83" t="str">
        <x:v>603816.SH</x:v>
      </x:c>
      <x:c r="B136" s="82" t="str">
        <x:v>顾家家居</x:v>
      </x:c>
      <x:c r="C136" s="82" t="str">
        <x:v>历史低估关注</x:v>
      </x:c>
      <x:c r="D136" s="82" t="str">
        <x:v>CHEAP</x:v>
      </x:c>
      <x:c r="E136" s="82" t="str">
        <x:v>READY</x:v>
      </x:c>
      <x:c r="F136" s="82" t="str">
        <x:v>historical-valuation-v1.0.0</x:v>
      </x:c>
      <x:c r="G136" s="82" t="str">
        <x:v>TongDaXin historical PE/PB/dividend-yield cache</x:v>
      </x:c>
    </x:row>
    <x:row r="137" ht="15" hidden="0" customHeight="1">
      <x:c r="A137" s="83" t="str">
        <x:v>002697.SZ</x:v>
      </x:c>
      <x:c r="B137" s="82" t="str">
        <x:v>红旗连锁</x:v>
      </x:c>
      <x:c r="C137" s="82" t="str">
        <x:v>历史低估关注</x:v>
      </x:c>
      <x:c r="D137" s="82" t="str">
        <x:v>CHEAP</x:v>
      </x:c>
      <x:c r="E137" s="82" t="str">
        <x:v>READY</x:v>
      </x:c>
      <x:c r="F137" s="82" t="str">
        <x:v>historical-valuation-v1.0.0</x:v>
      </x:c>
      <x:c r="G137" s="82" t="str">
        <x:v>TongDaXin historical PE/PB/dividend-yield cache</x:v>
      </x:c>
    </x:row>
    <x:row r="138" ht="15" hidden="0" customHeight="1">
      <x:c r="A138" s="83" t="str">
        <x:v>301061.SZ</x:v>
      </x:c>
      <x:c r="B138" s="82" t="str">
        <x:v>匠心家居</x:v>
      </x:c>
      <x:c r="C138" s="82" t="str">
        <x:v>历史低估关注</x:v>
      </x:c>
      <x:c r="D138" s="82" t="str">
        <x:v>CHEAP</x:v>
      </x:c>
      <x:c r="E138" s="82" t="str">
        <x:v>READY</x:v>
      </x:c>
      <x:c r="F138" s="82" t="str">
        <x:v>historical-valuation-v1.0.0</x:v>
      </x:c>
      <x:c r="G138" s="82" t="str">
        <x:v>TongDaXin historical PE/PB/dividend-yield cache</x:v>
      </x:c>
    </x:row>
    <x:row r="139" ht="15" hidden="0" customHeight="1">
      <x:c r="A139" s="83" t="str">
        <x:v>603444.SH</x:v>
      </x:c>
      <x:c r="B139" s="82" t="str">
        <x:v>吉比特</x:v>
      </x:c>
      <x:c r="C139" s="82" t="str">
        <x:v>历史低估关注</x:v>
      </x:c>
      <x:c r="D139" s="82" t="str">
        <x:v>CHEAP</x:v>
      </x:c>
      <x:c r="E139" s="82" t="str">
        <x:v>READY</x:v>
      </x:c>
      <x:c r="F139" s="82" t="str">
        <x:v>historical-valuation-v1.0.0</x:v>
      </x:c>
      <x:c r="G139" s="82" t="str">
        <x:v>TongDaXin historical PE/PB/dividend-yield cache</x:v>
      </x:c>
    </x:row>
    <x:row r="140" ht="15" hidden="0" customHeight="1">
      <x:c r="A140" s="83" t="str">
        <x:v>600211.SH</x:v>
      </x:c>
      <x:c r="B140" s="82" t="str">
        <x:v>西藏药业</x:v>
      </x:c>
      <x:c r="C140" s="82" t="str">
        <x:v>历史低估关注</x:v>
      </x:c>
      <x:c r="D140" s="82" t="str">
        <x:v>CHEAP</x:v>
      </x:c>
      <x:c r="E140" s="82" t="str">
        <x:v>READY</x:v>
      </x:c>
      <x:c r="F140" s="82" t="str">
        <x:v>historical-valuation-v1.0.0</x:v>
      </x:c>
      <x:c r="G140" s="82" t="str">
        <x:v>TongDaXin historical PE/PB/dividend-yield cache</x:v>
      </x:c>
    </x:row>
    <x:row r="141" ht="15" hidden="0" customHeight="1">
      <x:c r="A141" s="83" t="str">
        <x:v>600660.SH</x:v>
      </x:c>
      <x:c r="B141" s="82" t="str">
        <x:v>福耀玻璃</x:v>
      </x:c>
      <x:c r="C141" s="82" t="str">
        <x:v>历史低估关注</x:v>
      </x:c>
      <x:c r="D141" s="82" t="str">
        <x:v>CHEAP</x:v>
      </x:c>
      <x:c r="E141" s="82" t="str">
        <x:v>READY</x:v>
      </x:c>
      <x:c r="F141" s="82" t="str">
        <x:v>historical-valuation-v1.0.0</x:v>
      </x:c>
      <x:c r="G141" s="82" t="str">
        <x:v>TongDaXin historical PE/PB/dividend-yield cache</x:v>
      </x:c>
    </x:row>
    <x:row r="142" ht="15" hidden="0" customHeight="1">
      <x:c r="A142" s="83" t="str">
        <x:v>000733.SZ</x:v>
      </x:c>
      <x:c r="B142" s="82" t="str">
        <x:v>振华科技</x:v>
      </x:c>
      <x:c r="C142" s="82" t="str">
        <x:v>历史低估关注</x:v>
      </x:c>
      <x:c r="D142" s="82" t="str">
        <x:v>CHEAP</x:v>
      </x:c>
      <x:c r="E142" s="82" t="str">
        <x:v>READY</x:v>
      </x:c>
      <x:c r="F142" s="82" t="str">
        <x:v>historical-valuation-v1.0.0</x:v>
      </x:c>
      <x:c r="G142" s="82" t="str">
        <x:v>TongDaXin historical PE/PB/dividend-yield cache</x:v>
      </x:c>
    </x:row>
    <x:row r="143" ht="15" hidden="0" customHeight="1">
      <x:c r="A143" s="83" t="str">
        <x:v>600007.SH</x:v>
      </x:c>
      <x:c r="B143" s="82" t="str">
        <x:v>中国国贸</x:v>
      </x:c>
      <x:c r="C143" s="82" t="str">
        <x:v>历史低估关注</x:v>
      </x:c>
      <x:c r="D143" s="82" t="str">
        <x:v>CHEAP</x:v>
      </x:c>
      <x:c r="E143" s="82" t="str">
        <x:v>READY</x:v>
      </x:c>
      <x:c r="F143" s="82" t="str">
        <x:v>historical-valuation-v1.0.0</x:v>
      </x:c>
      <x:c r="G143" s="82" t="str">
        <x:v>TongDaXin historical PE/PB/dividend-yield cache</x:v>
      </x:c>
    </x:row>
    <x:row r="144" ht="15" hidden="0" customHeight="1">
      <x:c r="A144" s="83" t="str">
        <x:v>603659.SH</x:v>
      </x:c>
      <x:c r="B144" s="82" t="str">
        <x:v>璞泰来</x:v>
      </x:c>
      <x:c r="C144" s="82" t="str">
        <x:v>历史低估关注</x:v>
      </x:c>
      <x:c r="D144" s="82" t="str">
        <x:v>CHEAP</x:v>
      </x:c>
      <x:c r="E144" s="82" t="str">
        <x:v>READY</x:v>
      </x:c>
      <x:c r="F144" s="82" t="str">
        <x:v>historical-valuation-v1.0.0</x:v>
      </x:c>
      <x:c r="G144" s="82" t="str">
        <x:v>TongDaXin historical PE/PB/dividend-yield cache</x:v>
      </x:c>
    </x:row>
    <x:row r="145" ht="15" hidden="0" customHeight="1">
      <x:c r="A145" s="83" t="str">
        <x:v>603379.SH</x:v>
      </x:c>
      <x:c r="B145" s="82" t="str">
        <x:v>三美股份</x:v>
      </x:c>
      <x:c r="C145" s="82" t="str">
        <x:v>历史低估关注</x:v>
      </x:c>
      <x:c r="D145" s="82" t="str">
        <x:v>CHEAP</x:v>
      </x:c>
      <x:c r="E145" s="82" t="str">
        <x:v>READY</x:v>
      </x:c>
      <x:c r="F145" s="82" t="str">
        <x:v>historical-valuation-v1.0.0</x:v>
      </x:c>
      <x:c r="G145" s="82" t="str">
        <x:v>TongDaXin historical PE/PB/dividend-yield cache</x:v>
      </x:c>
    </x:row>
    <x:row r="146" ht="15" hidden="0" customHeight="1">
      <x:c r="A146" s="83" t="str">
        <x:v>300896.SZ</x:v>
      </x:c>
      <x:c r="B146" s="82" t="str">
        <x:v>爱美客</x:v>
      </x:c>
      <x:c r="C146" s="82" t="str">
        <x:v>历史低估关注</x:v>
      </x:c>
      <x:c r="D146" s="82" t="str">
        <x:v>CHEAP</x:v>
      </x:c>
      <x:c r="E146" s="82" t="str">
        <x:v>READY</x:v>
      </x:c>
      <x:c r="F146" s="82" t="str">
        <x:v>historical-valuation-v1.0.0</x:v>
      </x:c>
      <x:c r="G146" s="82" t="str">
        <x:v>TongDaXin historical PE/PB/dividend-yield cache</x:v>
      </x:c>
    </x:row>
    <x:row r="147" ht="15" hidden="0" customHeight="1">
      <x:c r="A147" s="83" t="str">
        <x:v>603365.SH</x:v>
      </x:c>
      <x:c r="B147" s="82" t="str">
        <x:v>水星家纺</x:v>
      </x:c>
      <x:c r="C147" s="82" t="str">
        <x:v>历史低估关注</x:v>
      </x:c>
      <x:c r="D147" s="82" t="str">
        <x:v>CHEAP</x:v>
      </x:c>
      <x:c r="E147" s="82" t="str">
        <x:v>READY</x:v>
      </x:c>
      <x:c r="F147" s="82" t="str">
        <x:v>historical-valuation-v1.0.0</x:v>
      </x:c>
      <x:c r="G147" s="82" t="str">
        <x:v>TongDaXin historical PE/PB/dividend-yield cache</x:v>
      </x:c>
    </x:row>
    <x:row r="148" ht="15" hidden="0" customHeight="1">
      <x:c r="A148" s="83" t="str">
        <x:v>000999.SZ</x:v>
      </x:c>
      <x:c r="B148" s="82" t="str">
        <x:v>华润三九</x:v>
      </x:c>
      <x:c r="C148" s="82" t="str">
        <x:v>历史低估关注</x:v>
      </x:c>
      <x:c r="D148" s="82" t="str">
        <x:v>CHEAP</x:v>
      </x:c>
      <x:c r="E148" s="82" t="str">
        <x:v>READY</x:v>
      </x:c>
      <x:c r="F148" s="82" t="str">
        <x:v>historical-valuation-v1.0.0</x:v>
      </x:c>
      <x:c r="G148" s="82" t="str">
        <x:v>TongDaXin historical PE/PB/dividend-yield cache</x:v>
      </x:c>
    </x:row>
    <x:row r="149" ht="15" hidden="0" customHeight="1">
      <x:c r="A149" s="83" t="str">
        <x:v>601865.SH</x:v>
      </x:c>
      <x:c r="B149" s="82" t="str">
        <x:v>福莱特</x:v>
      </x:c>
      <x:c r="C149" s="82" t="str">
        <x:v>历史低估关注</x:v>
      </x:c>
      <x:c r="D149" s="82" t="str">
        <x:v>CHEAP</x:v>
      </x:c>
      <x:c r="E149" s="82" t="str">
        <x:v>READY</x:v>
      </x:c>
      <x:c r="F149" s="82" t="str">
        <x:v>historical-valuation-v1.0.0</x:v>
      </x:c>
      <x:c r="G149" s="82" t="str">
        <x:v>TongDaXin historical PE/PB/dividend-yield cache</x:v>
      </x:c>
    </x:row>
    <x:row r="150" ht="15" hidden="0" customHeight="1">
      <x:c r="A150" s="83" t="str">
        <x:v>603939.SH</x:v>
      </x:c>
      <x:c r="B150" s="82" t="str">
        <x:v>益丰药房</x:v>
      </x:c>
      <x:c r="C150" s="82" t="str">
        <x:v>历史低估关注</x:v>
      </x:c>
      <x:c r="D150" s="82" t="str">
        <x:v>CHEAP</x:v>
      </x:c>
      <x:c r="E150" s="82" t="str">
        <x:v>READY</x:v>
      </x:c>
      <x:c r="F150" s="82" t="str">
        <x:v>historical-valuation-v1.0.0</x:v>
      </x:c>
      <x:c r="G150" s="82" t="str">
        <x:v>TongDaXin historical PE/PB/dividend-yield cache</x:v>
      </x:c>
    </x:row>
    <x:row r="151" ht="15" hidden="0" customHeight="1">
      <x:c r="A151" s="83" t="str">
        <x:v>601058.SH</x:v>
      </x:c>
      <x:c r="B151" s="82" t="str">
        <x:v>赛轮轮胎</x:v>
      </x:c>
      <x:c r="C151" s="82" t="str">
        <x:v>历史低估关注</x:v>
      </x:c>
      <x:c r="D151" s="82" t="str">
        <x:v>CHEAP</x:v>
      </x:c>
      <x:c r="E151" s="82" t="str">
        <x:v>READY</x:v>
      </x:c>
      <x:c r="F151" s="82" t="str">
        <x:v>historical-valuation-v1.0.0</x:v>
      </x:c>
      <x:c r="G151" s="82" t="str">
        <x:v>TongDaXin historical PE/PB/dividend-yield cache</x:v>
      </x:c>
    </x:row>
    <x:row r="152" ht="15" hidden="0" customHeight="1">
      <x:c r="A152" s="83" t="str">
        <x:v>000682.SZ</x:v>
      </x:c>
      <x:c r="B152" s="82" t="str">
        <x:v>东方电子</x:v>
      </x:c>
      <x:c r="C152" s="82" t="str">
        <x:v>历史低估关注</x:v>
      </x:c>
      <x:c r="D152" s="82" t="str">
        <x:v>CHEAP</x:v>
      </x:c>
      <x:c r="E152" s="82" t="str">
        <x:v>READY</x:v>
      </x:c>
      <x:c r="F152" s="82" t="str">
        <x:v>historical-valuation-v1.0.0</x:v>
      </x:c>
      <x:c r="G152" s="82" t="str">
        <x:v>TongDaXin historical PE/PB/dividend-yield cache</x:v>
      </x:c>
    </x:row>
    <x:row r="153" ht="15" hidden="0" customHeight="1">
      <x:c r="A153" s="83" t="str">
        <x:v>002230.SZ</x:v>
      </x:c>
      <x:c r="B153" s="82" t="str">
        <x:v>科大讯飞</x:v>
      </x:c>
      <x:c r="C153" s="82" t="str">
        <x:v>历史低估关注</x:v>
      </x:c>
      <x:c r="D153" s="82" t="str">
        <x:v>CHEAP</x:v>
      </x:c>
      <x:c r="E153" s="82" t="str">
        <x:v>READY</x:v>
      </x:c>
      <x:c r="F153" s="82" t="str">
        <x:v>historical-valuation-v1.0.0</x:v>
      </x:c>
      <x:c r="G153" s="82" t="str">
        <x:v>TongDaXin historical PE/PB/dividend-yield cache</x:v>
      </x:c>
    </x:row>
    <x:row r="154" ht="15" hidden="0" customHeight="1">
      <x:c r="A154" s="83" t="str">
        <x:v>300693.SZ</x:v>
      </x:c>
      <x:c r="B154" s="82" t="str">
        <x:v>盛弘股份</x:v>
      </x:c>
      <x:c r="C154" s="82" t="str">
        <x:v>历史低估关注</x:v>
      </x:c>
      <x:c r="D154" s="82" t="str">
        <x:v>CHEAP</x:v>
      </x:c>
      <x:c r="E154" s="82" t="str">
        <x:v>READY</x:v>
      </x:c>
      <x:c r="F154" s="82" t="str">
        <x:v>historical-valuation-v1.0.0</x:v>
      </x:c>
      <x:c r="G154" s="82" t="str">
        <x:v>TongDaXin historical PE/PB/dividend-yield cache</x:v>
      </x:c>
    </x:row>
    <x:row r="155" ht="15" hidden="0" customHeight="1">
      <x:c r="A155" s="83" t="str">
        <x:v>003012.SZ</x:v>
      </x:c>
      <x:c r="B155" s="82" t="str">
        <x:v>东鹏控股</x:v>
      </x:c>
      <x:c r="C155" s="82" t="str">
        <x:v>历史低估关注</x:v>
      </x:c>
      <x:c r="D155" s="82" t="str">
        <x:v>CHEAP</x:v>
      </x:c>
      <x:c r="E155" s="82" t="str">
        <x:v>READY</x:v>
      </x:c>
      <x:c r="F155" s="82" t="str">
        <x:v>historical-valuation-v1.0.0</x:v>
      </x:c>
      <x:c r="G155" s="82" t="str">
        <x:v>TongDaXin historical PE/PB/dividend-yield cache</x:v>
      </x:c>
    </x:row>
    <x:row r="156" ht="15" hidden="0" customHeight="1">
      <x:c r="A156" s="83" t="str">
        <x:v>002372.SZ</x:v>
      </x:c>
      <x:c r="B156" s="82" t="str">
        <x:v>伟星新材</x:v>
      </x:c>
      <x:c r="C156" s="82" t="str">
        <x:v>历史低估关注</x:v>
      </x:c>
      <x:c r="D156" s="82" t="str">
        <x:v>CHEAP</x:v>
      </x:c>
      <x:c r="E156" s="82" t="str">
        <x:v>READY</x:v>
      </x:c>
      <x:c r="F156" s="82" t="str">
        <x:v>historical-valuation-v1.0.0</x:v>
      </x:c>
      <x:c r="G156" s="82" t="str">
        <x:v>TongDaXin historical PE/PB/dividend-yield cache</x:v>
      </x:c>
    </x:row>
    <x:row r="157" ht="15" hidden="0" customHeight="1">
      <x:c r="A157" s="83" t="str">
        <x:v>688016.SH</x:v>
      </x:c>
      <x:c r="B157" s="82" t="str">
        <x:v>心脉医疗</x:v>
      </x:c>
      <x:c r="C157" s="82" t="str">
        <x:v>历史低估关注</x:v>
      </x:c>
      <x:c r="D157" s="82" t="str">
        <x:v>CHEAP</x:v>
      </x:c>
      <x:c r="E157" s="82" t="str">
        <x:v>READY</x:v>
      </x:c>
      <x:c r="F157" s="82" t="str">
        <x:v>historical-valuation-v1.0.0</x:v>
      </x:c>
      <x:c r="G157" s="82" t="str">
        <x:v>TongDaXin historical PE/PB/dividend-yield cache</x:v>
      </x:c>
    </x:row>
    <x:row r="158" ht="15" hidden="0" customHeight="1">
      <x:c r="A158" s="83" t="str">
        <x:v>002091.SZ</x:v>
      </x:c>
      <x:c r="B158" s="82" t="str">
        <x:v>江苏国泰</x:v>
      </x:c>
      <x:c r="C158" s="82" t="str">
        <x:v>历史低估关注</x:v>
      </x:c>
      <x:c r="D158" s="82" t="str">
        <x:v>CHEAP</x:v>
      </x:c>
      <x:c r="E158" s="82" t="str">
        <x:v>READY</x:v>
      </x:c>
      <x:c r="F158" s="82" t="str">
        <x:v>historical-valuation-v1.0.0</x:v>
      </x:c>
      <x:c r="G158" s="82" t="str">
        <x:v>TongDaXin historical PE/PB/dividend-yield cache</x:v>
      </x:c>
    </x:row>
    <x:row r="159" ht="15" hidden="0" customHeight="1">
      <x:c r="A159" s="83" t="str">
        <x:v>603613.SH</x:v>
      </x:c>
      <x:c r="B159" s="82" t="str">
        <x:v>国联股份</x:v>
      </x:c>
      <x:c r="C159" s="82" t="str">
        <x:v>历史低估关注</x:v>
      </x:c>
      <x:c r="D159" s="82" t="str">
        <x:v>CHEAP</x:v>
      </x:c>
      <x:c r="E159" s="82" t="str">
        <x:v>READY</x:v>
      </x:c>
      <x:c r="F159" s="82" t="str">
        <x:v>historical-valuation-v1.0.0</x:v>
      </x:c>
      <x:c r="G159" s="82" t="str">
        <x:v>TongDaXin historical PE/PB/dividend-yield cache</x:v>
      </x:c>
    </x:row>
    <x:row r="160" ht="15" hidden="0" customHeight="1">
      <x:c r="A160" s="83" t="str">
        <x:v>000920.SZ</x:v>
      </x:c>
      <x:c r="B160" s="82" t="str">
        <x:v>沃顿科技</x:v>
      </x:c>
      <x:c r="C160" s="82" t="str">
        <x:v>历史低估关注</x:v>
      </x:c>
      <x:c r="D160" s="82" t="str">
        <x:v>CHEAP</x:v>
      </x:c>
      <x:c r="E160" s="82" t="str">
        <x:v>READY</x:v>
      </x:c>
      <x:c r="F160" s="82" t="str">
        <x:v>historical-valuation-v1.0.0</x:v>
      </x:c>
      <x:c r="G160" s="82" t="str">
        <x:v>TongDaXin historical PE/PB/dividend-yield cache</x:v>
      </x:c>
    </x:row>
    <x:row r="161" ht="15" hidden="0" customHeight="1">
      <x:c r="A161" s="83" t="str">
        <x:v>002027.SZ</x:v>
      </x:c>
      <x:c r="B161" s="82" t="str">
        <x:v>分众传媒</x:v>
      </x:c>
      <x:c r="C161" s="82" t="str">
        <x:v>历史低估关注</x:v>
      </x:c>
      <x:c r="D161" s="82" t="str">
        <x:v>CHEAP</x:v>
      </x:c>
      <x:c r="E161" s="82" t="str">
        <x:v>READY</x:v>
      </x:c>
      <x:c r="F161" s="82" t="str">
        <x:v>historical-valuation-v1.0.0</x:v>
      </x:c>
      <x:c r="G161" s="82" t="str">
        <x:v>TongDaXin historical PE/PB/dividend-yield cache</x:v>
      </x:c>
    </x:row>
    <x:row r="162" ht="15" hidden="0" customHeight="1">
      <x:c r="A162" s="83" t="str">
        <x:v>601877.SH</x:v>
      </x:c>
      <x:c r="B162" s="82" t="str">
        <x:v>正泰电器</x:v>
      </x:c>
      <x:c r="C162" s="82" t="str">
        <x:v>历史低估关注</x:v>
      </x:c>
      <x:c r="D162" s="82" t="str">
        <x:v>CHEAP</x:v>
      </x:c>
      <x:c r="E162" s="82" t="str">
        <x:v>READY</x:v>
      </x:c>
      <x:c r="F162" s="82" t="str">
        <x:v>historical-valuation-v1.0.0</x:v>
      </x:c>
      <x:c r="G162" s="82" t="str">
        <x:v>TongDaXin historical PE/PB/dividend-yield cache</x:v>
      </x:c>
    </x:row>
    <x:row r="163" ht="15" hidden="0" customHeight="1">
      <x:c r="A163" s="83" t="str">
        <x:v>603486.SH</x:v>
      </x:c>
      <x:c r="B163" s="82" t="str">
        <x:v>科沃斯</x:v>
      </x:c>
      <x:c r="C163" s="82" t="str">
        <x:v>历史低估关注</x:v>
      </x:c>
      <x:c r="D163" s="82" t="str">
        <x:v>CHEAP</x:v>
      </x:c>
      <x:c r="E163" s="82" t="str">
        <x:v>READY</x:v>
      </x:c>
      <x:c r="F163" s="82" t="str">
        <x:v>historical-valuation-v1.0.0</x:v>
      </x:c>
      <x:c r="G163" s="82" t="str">
        <x:v>TongDaXin historical PE/PB/dividend-yield cache</x:v>
      </x:c>
    </x:row>
    <x:row r="164" ht="15" hidden="0" customHeight="1">
      <x:c r="A164" s="83" t="str">
        <x:v>601888.SH</x:v>
      </x:c>
      <x:c r="B164" s="82" t="str">
        <x:v>中国中免</x:v>
      </x:c>
      <x:c r="C164" s="82" t="str">
        <x:v>历史低估关注</x:v>
      </x:c>
      <x:c r="D164" s="82" t="str">
        <x:v>CHEAP</x:v>
      </x:c>
      <x:c r="E164" s="82" t="str">
        <x:v>READY</x:v>
      </x:c>
      <x:c r="F164" s="82" t="str">
        <x:v>historical-valuation-v1.0.0</x:v>
      </x:c>
      <x:c r="G164" s="82" t="str">
        <x:v>TongDaXin historical PE/PB/dividend-yield cache</x:v>
      </x:c>
    </x:row>
    <x:row r="165" ht="15" hidden="0" customHeight="1">
      <x:c r="A165" s="83" t="str">
        <x:v>603868.SH</x:v>
      </x:c>
      <x:c r="B165" s="82" t="str">
        <x:v>飞科电器</x:v>
      </x:c>
      <x:c r="C165" s="82" t="str">
        <x:v>历史低估关注</x:v>
      </x:c>
      <x:c r="D165" s="82" t="str">
        <x:v>CHEAP</x:v>
      </x:c>
      <x:c r="E165" s="82" t="str">
        <x:v>READY</x:v>
      </x:c>
      <x:c r="F165" s="82" t="str">
        <x:v>historical-valuation-v1.0.0</x:v>
      </x:c>
      <x:c r="G165" s="82" t="str">
        <x:v>TongDaXin historical PE/PB/dividend-yield cache</x:v>
      </x:c>
    </x:row>
    <x:row r="166" ht="15" hidden="0" customHeight="1">
      <x:c r="A166" s="83" t="str">
        <x:v>002049.SZ</x:v>
      </x:c>
      <x:c r="B166" s="82" t="str">
        <x:v>紫光国微</x:v>
      </x:c>
      <x:c r="C166" s="82" t="str">
        <x:v>历史低估关注</x:v>
      </x:c>
      <x:c r="D166" s="82" t="str">
        <x:v>CHEAP</x:v>
      </x:c>
      <x:c r="E166" s="82" t="str">
        <x:v>READY</x:v>
      </x:c>
      <x:c r="F166" s="82" t="str">
        <x:v>historical-valuation-v1.0.0</x:v>
      </x:c>
      <x:c r="G166" s="82" t="str">
        <x:v>TongDaXin historical PE/PB/dividend-yield cache</x:v>
      </x:c>
    </x:row>
    <x:row r="167" ht="15" hidden="0" customHeight="1">
      <x:c r="A167" s="83" t="str">
        <x:v>002215.SZ</x:v>
      </x:c>
      <x:c r="B167" s="82" t="str">
        <x:v>诺 普 信</x:v>
      </x:c>
      <x:c r="C167" s="82" t="str">
        <x:v>历史低估关注</x:v>
      </x:c>
      <x:c r="D167" s="82" t="str">
        <x:v>CHEAP</x:v>
      </x:c>
      <x:c r="E167" s="82" t="str">
        <x:v>READY</x:v>
      </x:c>
      <x:c r="F167" s="82" t="str">
        <x:v>historical-valuation-v1.0.0</x:v>
      </x:c>
      <x:c r="G167" s="82" t="str">
        <x:v>TongDaXin historical PE/PB/dividend-yield cache</x:v>
      </x:c>
    </x:row>
    <x:row r="168" ht="15" hidden="0" customHeight="1">
      <x:c r="A168" s="83" t="str">
        <x:v>000708.SZ</x:v>
      </x:c>
      <x:c r="B168" s="82" t="str">
        <x:v>中信特钢</x:v>
      </x:c>
      <x:c r="C168" s="82" t="str">
        <x:v>历史低估关注</x:v>
      </x:c>
      <x:c r="D168" s="82" t="str">
        <x:v>CHEAP</x:v>
      </x:c>
      <x:c r="E168" s="82" t="str">
        <x:v>READY</x:v>
      </x:c>
      <x:c r="F168" s="82" t="str">
        <x:v>historical-valuation-v1.0.0</x:v>
      </x:c>
      <x:c r="G168" s="82" t="str">
        <x:v>TongDaXin historical PE/PB/dividend-yield cache</x:v>
      </x:c>
    </x:row>
    <x:row r="169" ht="15" hidden="0" customHeight="1">
      <x:c r="A169" s="83" t="str">
        <x:v>002249.SZ</x:v>
      </x:c>
      <x:c r="B169" s="82" t="str">
        <x:v>大洋电机</x:v>
      </x:c>
      <x:c r="C169" s="82" t="str">
        <x:v>历史低估关注</x:v>
      </x:c>
      <x:c r="D169" s="82" t="str">
        <x:v>CHEAP</x:v>
      </x:c>
      <x:c r="E169" s="82" t="str">
        <x:v>READY</x:v>
      </x:c>
      <x:c r="F169" s="82" t="str">
        <x:v>historical-valuation-v1.0.0</x:v>
      </x:c>
      <x:c r="G169" s="82" t="str">
        <x:v>TongDaXin historical PE/PB/dividend-yield cache</x:v>
      </x:c>
    </x:row>
    <x:row r="170" ht="15" hidden="0" customHeight="1">
      <x:c r="A170" s="83" t="str">
        <x:v>002801.SZ</x:v>
      </x:c>
      <x:c r="B170" s="82" t="str">
        <x:v>微光股份</x:v>
      </x:c>
      <x:c r="C170" s="82" t="str">
        <x:v>历史低估关注</x:v>
      </x:c>
      <x:c r="D170" s="82" t="str">
        <x:v>CHEAP</x:v>
      </x:c>
      <x:c r="E170" s="82" t="str">
        <x:v>READY</x:v>
      </x:c>
      <x:c r="F170" s="82" t="str">
        <x:v>historical-valuation-v1.0.0</x:v>
      </x:c>
      <x:c r="G170" s="82" t="str">
        <x:v>TongDaXin historical PE/PB/dividend-yield cache</x:v>
      </x:c>
    </x:row>
    <x:row r="171" ht="15" hidden="0" customHeight="1">
      <x:c r="A171" s="83" t="str">
        <x:v>300019.SZ</x:v>
      </x:c>
      <x:c r="B171" s="82" t="str">
        <x:v>硅宝科技</x:v>
      </x:c>
      <x:c r="C171" s="82" t="str">
        <x:v>历史低估关注</x:v>
      </x:c>
      <x:c r="D171" s="82" t="str">
        <x:v>CHEAP</x:v>
      </x:c>
      <x:c r="E171" s="82" t="str">
        <x:v>READY</x:v>
      </x:c>
      <x:c r="F171" s="82" t="str">
        <x:v>historical-valuation-v1.0.0</x:v>
      </x:c>
      <x:c r="G171" s="82" t="str">
        <x:v>TongDaXin historical PE/PB/dividend-yield cache</x:v>
      </x:c>
    </x:row>
    <x:row r="172" ht="15" hidden="0" customHeight="1">
      <x:c r="A172" s="83" t="str">
        <x:v>603889.SH</x:v>
      </x:c>
      <x:c r="B172" s="82" t="str">
        <x:v>新澳股份</x:v>
      </x:c>
      <x:c r="C172" s="82" t="str">
        <x:v>历史低估关注</x:v>
      </x:c>
      <x:c r="D172" s="82" t="str">
        <x:v>CHEAP</x:v>
      </x:c>
      <x:c r="E172" s="82" t="str">
        <x:v>READY</x:v>
      </x:c>
      <x:c r="F172" s="82" t="str">
        <x:v>historical-valuation-v1.0.0</x:v>
      </x:c>
      <x:c r="G172" s="82" t="str">
        <x:v>TongDaXin historical PE/PB/dividend-yield cache</x:v>
      </x:c>
    </x:row>
    <x:row r="173" ht="15" hidden="0" customHeight="1">
      <x:c r="A173" s="83" t="str">
        <x:v>603799.SH</x:v>
      </x:c>
      <x:c r="B173" s="82" t="str">
        <x:v>华友钴业</x:v>
      </x:c>
      <x:c r="C173" s="82" t="str">
        <x:v>历史低估关注</x:v>
      </x:c>
      <x:c r="D173" s="82" t="str">
        <x:v>CHEAP</x:v>
      </x:c>
      <x:c r="E173" s="82" t="str">
        <x:v>READY</x:v>
      </x:c>
      <x:c r="F173" s="82" t="str">
        <x:v>historical-valuation-v1.0.0</x:v>
      </x:c>
      <x:c r="G173" s="82" t="str">
        <x:v>TongDaXin historical PE/PB/dividend-yield cache</x:v>
      </x:c>
    </x:row>
    <x:row r="174" ht="15" hidden="0" customHeight="1">
      <x:c r="A174" s="83" t="str">
        <x:v>300699.SZ</x:v>
      </x:c>
      <x:c r="B174" s="82" t="str">
        <x:v>光威复材</x:v>
      </x:c>
      <x:c r="C174" s="82" t="str">
        <x:v>历史低估关注</x:v>
      </x:c>
      <x:c r="D174" s="82" t="str">
        <x:v>CHEAP</x:v>
      </x:c>
      <x:c r="E174" s="82" t="str">
        <x:v>READY</x:v>
      </x:c>
      <x:c r="F174" s="82" t="str">
        <x:v>historical-valuation-v1.0.0</x:v>
      </x:c>
      <x:c r="G174" s="82" t="str">
        <x:v>TongDaXin historical PE/PB/dividend-yield cache</x:v>
      </x:c>
    </x:row>
    <x:row r="175" ht="15" hidden="0" customHeight="1">
      <x:c r="A175" s="83" t="str">
        <x:v>600826.SH</x:v>
      </x:c>
      <x:c r="B175" s="82" t="str">
        <x:v>兰生股份</x:v>
      </x:c>
      <x:c r="C175" s="82" t="str">
        <x:v>历史低估关注</x:v>
      </x:c>
      <x:c r="D175" s="82" t="str">
        <x:v>CHEAP</x:v>
      </x:c>
      <x:c r="E175" s="82" t="str">
        <x:v>READY</x:v>
      </x:c>
      <x:c r="F175" s="82" t="str">
        <x:v>historical-valuation-v1.0.0</x:v>
      </x:c>
      <x:c r="G175" s="82" t="str">
        <x:v>TongDaXin historical PE/PB/dividend-yield cache</x:v>
      </x:c>
    </x:row>
    <x:row r="176" ht="15" hidden="0" customHeight="1">
      <x:c r="A176" s="83" t="str">
        <x:v>300760.SZ</x:v>
      </x:c>
      <x:c r="B176" s="82" t="str">
        <x:v>迈瑞医疗</x:v>
      </x:c>
      <x:c r="C176" s="82" t="str">
        <x:v>历史低估关注</x:v>
      </x:c>
      <x:c r="D176" s="82" t="str">
        <x:v>CHEAP</x:v>
      </x:c>
      <x:c r="E176" s="82" t="str">
        <x:v>READY</x:v>
      </x:c>
      <x:c r="F176" s="82" t="str">
        <x:v>historical-valuation-v1.0.0</x:v>
      </x:c>
      <x:c r="G176" s="82" t="str">
        <x:v>TongDaXin historical PE/PB/dividend-yield cache</x:v>
      </x:c>
    </x:row>
    <x:row r="177" ht="15" hidden="0" customHeight="1">
      <x:c r="A177" s="83" t="str">
        <x:v>603112.SH</x:v>
      </x:c>
      <x:c r="B177" s="82" t="str">
        <x:v>华翔股份</x:v>
      </x:c>
      <x:c r="C177" s="82" t="str">
        <x:v>历史低估关注</x:v>
      </x:c>
      <x:c r="D177" s="82" t="str">
        <x:v>CHEAP</x:v>
      </x:c>
      <x:c r="E177" s="82" t="str">
        <x:v>READY</x:v>
      </x:c>
      <x:c r="F177" s="82" t="str">
        <x:v>historical-valuation-v1.0.0</x:v>
      </x:c>
      <x:c r="G177" s="82" t="str">
        <x:v>TongDaXin historical PE/PB/dividend-yield cache</x:v>
      </x:c>
    </x:row>
    <x:row r="178" ht="15" hidden="0" customHeight="1">
      <x:c r="A178" s="83" t="str">
        <x:v>603888.SH</x:v>
      </x:c>
      <x:c r="B178" s="82" t="str">
        <x:v>新华网</x:v>
      </x:c>
      <x:c r="C178" s="82" t="str">
        <x:v>历史低估关注</x:v>
      </x:c>
      <x:c r="D178" s="82" t="str">
        <x:v>CHEAP</x:v>
      </x:c>
      <x:c r="E178" s="82" t="str">
        <x:v>READY</x:v>
      </x:c>
      <x:c r="F178" s="82" t="str">
        <x:v>historical-valuation-v1.0.0</x:v>
      </x:c>
      <x:c r="G178" s="82" t="str">
        <x:v>TongDaXin historical PE/PB/dividend-yield cache</x:v>
      </x:c>
    </x:row>
    <x:row r="179" ht="15" hidden="0" customHeight="1">
      <x:c r="A179" s="83" t="str">
        <x:v>600030.SH</x:v>
      </x:c>
      <x:c r="B179" s="82" t="str">
        <x:v>中信证券</x:v>
      </x:c>
      <x:c r="C179" s="82" t="str">
        <x:v>历史低估关注</x:v>
      </x:c>
      <x:c r="D179" s="82" t="str">
        <x:v>CHEAP</x:v>
      </x:c>
      <x:c r="E179" s="82" t="str">
        <x:v>READY</x:v>
      </x:c>
      <x:c r="F179" s="82" t="str">
        <x:v>historical-valuation-v1.0.0</x:v>
      </x:c>
      <x:c r="G179" s="82" t="str">
        <x:v>TongDaXin historical PE/PB/dividend-yield cache</x:v>
      </x:c>
    </x:row>
    <x:row r="180" ht="15" hidden="0" customHeight="1">
      <x:c r="A180" s="83" t="str">
        <x:v>603279.SH</x:v>
      </x:c>
      <x:c r="B180" s="82" t="str">
        <x:v>景津装备</x:v>
      </x:c>
      <x:c r="C180" s="82" t="str">
        <x:v>历史低估关注</x:v>
      </x:c>
      <x:c r="D180" s="82" t="str">
        <x:v>CHEAP</x:v>
      </x:c>
      <x:c r="E180" s="82" t="str">
        <x:v>READY</x:v>
      </x:c>
      <x:c r="F180" s="82" t="str">
        <x:v>historical-valuation-v1.0.0</x:v>
      </x:c>
      <x:c r="G180" s="82" t="str">
        <x:v>TongDaXin historical PE/PB/dividend-yield cache</x:v>
      </x:c>
    </x:row>
    <x:row r="181" ht="15" hidden="0" customHeight="1">
      <x:c r="A181" s="83" t="str">
        <x:v>000902.SZ</x:v>
      </x:c>
      <x:c r="B181" s="82" t="str">
        <x:v>新洋丰</x:v>
      </x:c>
      <x:c r="C181" s="82" t="str">
        <x:v>历史低估关注</x:v>
      </x:c>
      <x:c r="D181" s="82" t="str">
        <x:v>CHEAP</x:v>
      </x:c>
      <x:c r="E181" s="82" t="str">
        <x:v>READY</x:v>
      </x:c>
      <x:c r="F181" s="82" t="str">
        <x:v>historical-valuation-v1.0.0</x:v>
      </x:c>
      <x:c r="G181" s="82" t="str">
        <x:v>TongDaXin historical PE/PB/dividend-yield cache</x:v>
      </x:c>
    </x:row>
    <x:row r="182" ht="15" hidden="0" customHeight="1">
      <x:c r="A182" s="83" t="str">
        <x:v>300012.SZ</x:v>
      </x:c>
      <x:c r="B182" s="82" t="str">
        <x:v>华测检测</x:v>
      </x:c>
      <x:c r="C182" s="82" t="str">
        <x:v>历史低估关注</x:v>
      </x:c>
      <x:c r="D182" s="82" t="str">
        <x:v>CHEAP</x:v>
      </x:c>
      <x:c r="E182" s="82" t="str">
        <x:v>READY</x:v>
      </x:c>
      <x:c r="F182" s="82" t="str">
        <x:v>historical-valuation-v1.0.0</x:v>
      </x:c>
      <x:c r="G182" s="82" t="str">
        <x:v>TongDaXin historical PE/PB/dividend-yield cache</x:v>
      </x:c>
    </x:row>
    <x:row r="183" ht="15" hidden="0" customHeight="1">
      <x:c r="A183" s="83" t="str">
        <x:v>688336.SH</x:v>
      </x:c>
      <x:c r="B183" s="82" t="str">
        <x:v>三生国健</x:v>
      </x:c>
      <x:c r="C183" s="82" t="str">
        <x:v>历史低估关注</x:v>
      </x:c>
      <x:c r="D183" s="82" t="str">
        <x:v>CHEAP</x:v>
      </x:c>
      <x:c r="E183" s="82" t="str">
        <x:v>READY</x:v>
      </x:c>
      <x:c r="F183" s="82" t="str">
        <x:v>historical-valuation-v1.0.0</x:v>
      </x:c>
      <x:c r="G183" s="82" t="str">
        <x:v>TongDaXin historical PE/PB/dividend-yield cache</x:v>
      </x:c>
    </x:row>
    <x:row r="184" ht="15" hidden="0" customHeight="1">
      <x:c r="A184" s="83" t="str">
        <x:v>002241.SZ</x:v>
      </x:c>
      <x:c r="B184" s="82" t="str">
        <x:v>歌尔股份</x:v>
      </x:c>
      <x:c r="C184" s="82" t="str">
        <x:v>历史低估关注</x:v>
      </x:c>
      <x:c r="D184" s="82" t="str">
        <x:v>CHEAP</x:v>
      </x:c>
      <x:c r="E184" s="82" t="str">
        <x:v>READY</x:v>
      </x:c>
      <x:c r="F184" s="82" t="str">
        <x:v>historical-valuation-v1.0.0</x:v>
      </x:c>
      <x:c r="G184" s="82" t="str">
        <x:v>TongDaXin historical PE/PB/dividend-yield cache</x:v>
      </x:c>
    </x:row>
    <x:row r="185" ht="15" hidden="0" customHeight="1">
      <x:c r="A185" s="83" t="str">
        <x:v>300009.SZ</x:v>
      </x:c>
      <x:c r="B185" s="82" t="str">
        <x:v>安科生物</x:v>
      </x:c>
      <x:c r="C185" s="82" t="str">
        <x:v>历史低估关注</x:v>
      </x:c>
      <x:c r="D185" s="82" t="str">
        <x:v>CHEAP</x:v>
      </x:c>
      <x:c r="E185" s="82" t="str">
        <x:v>READY</x:v>
      </x:c>
      <x:c r="F185" s="82" t="str">
        <x:v>historical-valuation-v1.0.0</x:v>
      </x:c>
      <x:c r="G185" s="82" t="str">
        <x:v>TongDaXin historical PE/PB/dividend-yield cache</x:v>
      </x:c>
    </x:row>
    <x:row r="186" ht="15" hidden="0" customHeight="1">
      <x:c r="A186" s="83" t="str">
        <x:v>603055.SH</x:v>
      </x:c>
      <x:c r="B186" s="82" t="str">
        <x:v>台华新材</x:v>
      </x:c>
      <x:c r="C186" s="82" t="str">
        <x:v>历史低估关注</x:v>
      </x:c>
      <x:c r="D186" s="82" t="str">
        <x:v>CHEAP</x:v>
      </x:c>
      <x:c r="E186" s="82" t="str">
        <x:v>READY</x:v>
      </x:c>
      <x:c r="F186" s="82" t="str">
        <x:v>historical-valuation-v1.0.0</x:v>
      </x:c>
      <x:c r="G186" s="82" t="str">
        <x:v>TongDaXin historical PE/PB/dividend-yield cache</x:v>
      </x:c>
    </x:row>
    <x:row r="187" ht="15" hidden="0" customHeight="1">
      <x:c r="A187" s="83" t="str">
        <x:v>600886.SH</x:v>
      </x:c>
      <x:c r="B187" s="82" t="str">
        <x:v>国投电力</x:v>
      </x:c>
      <x:c r="C187" s="82" t="str">
        <x:v>历史低估关注</x:v>
      </x:c>
      <x:c r="D187" s="82" t="str">
        <x:v>CHEAP</x:v>
      </x:c>
      <x:c r="E187" s="82" t="str">
        <x:v>READY</x:v>
      </x:c>
      <x:c r="F187" s="82" t="str">
        <x:v>historical-valuation-v1.0.0</x:v>
      </x:c>
      <x:c r="G187" s="82" t="str">
        <x:v>TongDaXin historical PE/PB/dividend-yield cache</x:v>
      </x:c>
    </x:row>
    <x:row r="188" ht="15" hidden="0" customHeight="1">
      <x:c r="A188" s="83" t="str">
        <x:v>300498.SZ</x:v>
      </x:c>
      <x:c r="B188" s="82" t="str">
        <x:v>温氏股份</x:v>
      </x:c>
      <x:c r="C188" s="82" t="str">
        <x:v>历史低估关注</x:v>
      </x:c>
      <x:c r="D188" s="82" t="str">
        <x:v>CHEAP</x:v>
      </x:c>
      <x:c r="E188" s="82" t="str">
        <x:v>READY</x:v>
      </x:c>
      <x:c r="F188" s="82" t="str">
        <x:v>historical-valuation-v1.0.0</x:v>
      </x:c>
      <x:c r="G188" s="82" t="str">
        <x:v>TongDaXin historical PE/PB/dividend-yield cache</x:v>
      </x:c>
    </x:row>
    <x:row r="189" ht="15" hidden="0" customHeight="1">
      <x:c r="A189" s="83" t="str">
        <x:v>600704.SH</x:v>
      </x:c>
      <x:c r="B189" s="82" t="str">
        <x:v>物产中大</x:v>
      </x:c>
      <x:c r="C189" s="82" t="str">
        <x:v>历史低估关注</x:v>
      </x:c>
      <x:c r="D189" s="82" t="str">
        <x:v>CHEAP</x:v>
      </x:c>
      <x:c r="E189" s="82" t="str">
        <x:v>READY</x:v>
      </x:c>
      <x:c r="F189" s="82" t="str">
        <x:v>historical-valuation-v1.0.0</x:v>
      </x:c>
      <x:c r="G189" s="82" t="str">
        <x:v>TongDaXin historical PE/PB/dividend-yield cache</x:v>
      </x:c>
    </x:row>
    <x:row r="190" ht="15" hidden="0" customHeight="1">
      <x:c r="A190" s="83" t="str">
        <x:v>601811.SH</x:v>
      </x:c>
      <x:c r="B190" s="82" t="str">
        <x:v>新华文轩</x:v>
      </x:c>
      <x:c r="C190" s="82" t="str">
        <x:v>历史低估关注</x:v>
      </x:c>
      <x:c r="D190" s="82" t="str">
        <x:v>CHEAP</x:v>
      </x:c>
      <x:c r="E190" s="82" t="str">
        <x:v>READY</x:v>
      </x:c>
      <x:c r="F190" s="82" t="str">
        <x:v>historical-valuation-v1.0.0</x:v>
      </x:c>
      <x:c r="G190" s="82" t="str">
        <x:v>TongDaXin historical PE/PB/dividend-yield cache</x:v>
      </x:c>
    </x:row>
    <x:row r="191" ht="15" hidden="0" customHeight="1">
      <x:c r="A191" s="83" t="str">
        <x:v>688187.SH</x:v>
      </x:c>
      <x:c r="B191" s="82" t="str">
        <x:v>时代电气</x:v>
      </x:c>
      <x:c r="C191" s="82" t="str">
        <x:v>历史低估关注</x:v>
      </x:c>
      <x:c r="D191" s="82" t="str">
        <x:v>CHEAP</x:v>
      </x:c>
      <x:c r="E191" s="82" t="str">
        <x:v>READY</x:v>
      </x:c>
      <x:c r="F191" s="82" t="str">
        <x:v>historical-valuation-v1.0.0</x:v>
      </x:c>
      <x:c r="G191" s="82" t="str">
        <x:v>TongDaXin historical PE/PB/dividend-yield cache</x:v>
      </x:c>
    </x:row>
    <x:row r="192" ht="15" hidden="0" customHeight="1">
      <x:c r="A192" s="83" t="str">
        <x:v>601766.SH</x:v>
      </x:c>
      <x:c r="B192" s="82" t="str">
        <x:v>中国中车</x:v>
      </x:c>
      <x:c r="C192" s="82" t="str">
        <x:v>历史低估关注</x:v>
      </x:c>
      <x:c r="D192" s="82" t="str">
        <x:v>CHEAP</x:v>
      </x:c>
      <x:c r="E192" s="82" t="str">
        <x:v>READY</x:v>
      </x:c>
      <x:c r="F192" s="82" t="str">
        <x:v>historical-valuation-v1.0.0</x:v>
      </x:c>
      <x:c r="G192" s="82" t="str">
        <x:v>TongDaXin historical PE/PB/dividend-yield cache</x:v>
      </x:c>
    </x:row>
    <x:row r="193" ht="15" hidden="0" customHeight="1">
      <x:c r="A193" s="83" t="str">
        <x:v>002282.SZ</x:v>
      </x:c>
      <x:c r="B193" s="82" t="str">
        <x:v>博深股份</x:v>
      </x:c>
      <x:c r="C193" s="82" t="str">
        <x:v>历史低估关注</x:v>
      </x:c>
      <x:c r="D193" s="82" t="str">
        <x:v>CHEAP</x:v>
      </x:c>
      <x:c r="E193" s="82" t="str">
        <x:v>READY</x:v>
      </x:c>
      <x:c r="F193" s="82" t="str">
        <x:v>historical-valuation-v1.0.0</x:v>
      </x:c>
      <x:c r="G193" s="82" t="str">
        <x:v>TongDaXin historical PE/PB/dividend-yield cache</x:v>
      </x:c>
    </x:row>
    <x:row r="194" ht="15" hidden="0" customHeight="1">
      <x:c r="A194" s="83" t="str">
        <x:v>600415.SH</x:v>
      </x:c>
      <x:c r="B194" s="82" t="str">
        <x:v>小商品城</x:v>
      </x:c>
      <x:c r="C194" s="82" t="str">
        <x:v>历史低估关注</x:v>
      </x:c>
      <x:c r="D194" s="82" t="str">
        <x:v>CHEAP</x:v>
      </x:c>
      <x:c r="E194" s="82" t="str">
        <x:v>READY</x:v>
      </x:c>
      <x:c r="F194" s="82" t="str">
        <x:v>historical-valuation-v1.0.0</x:v>
      </x:c>
      <x:c r="G194" s="82" t="str">
        <x:v>TongDaXin historical PE/PB/dividend-yield cache</x:v>
      </x:c>
    </x:row>
    <x:row r="195" ht="15" hidden="0" customHeight="1">
      <x:c r="A195" s="83" t="str">
        <x:v>600803.SH</x:v>
      </x:c>
      <x:c r="B195" s="82" t="str">
        <x:v>新奥股份</x:v>
      </x:c>
      <x:c r="C195" s="82" t="str">
        <x:v>历史低估关注</x:v>
      </x:c>
      <x:c r="D195" s="82" t="str">
        <x:v>CHEAP</x:v>
      </x:c>
      <x:c r="E195" s="82" t="str">
        <x:v>READY</x:v>
      </x:c>
      <x:c r="F195" s="82" t="str">
        <x:v>historical-valuation-v1.0.0</x:v>
      </x:c>
      <x:c r="G195" s="82" t="str">
        <x:v>TongDaXin historical PE/PB/dividend-yield cache</x:v>
      </x:c>
    </x:row>
    <x:row r="196" ht="15" hidden="0" customHeight="1">
      <x:c r="A196" s="83" t="str">
        <x:v>300773.SZ</x:v>
      </x:c>
      <x:c r="B196" s="82" t="str">
        <x:v>拉卡拉</x:v>
      </x:c>
      <x:c r="C196" s="82" t="str">
        <x:v>历史低估关注</x:v>
      </x:c>
      <x:c r="D196" s="82" t="str">
        <x:v>CHEAP</x:v>
      </x:c>
      <x:c r="E196" s="82" t="str">
        <x:v>READY</x:v>
      </x:c>
      <x:c r="F196" s="82" t="str">
        <x:v>historical-valuation-v1.0.0</x:v>
      </x:c>
      <x:c r="G196" s="82" t="str">
        <x:v>TongDaXin historical PE/PB/dividend-yield cache</x:v>
      </x:c>
    </x:row>
    <x:row r="197" ht="15" hidden="0" customHeight="1">
      <x:c r="A197" s="83" t="str">
        <x:v>603223.SH</x:v>
      </x:c>
      <x:c r="B197" s="82" t="str">
        <x:v>恒通股份</x:v>
      </x:c>
      <x:c r="C197" s="82" t="str">
        <x:v>历史低估关注</x:v>
      </x:c>
      <x:c r="D197" s="82" t="str">
        <x:v>CHEAP</x:v>
      </x:c>
      <x:c r="E197" s="82" t="str">
        <x:v>READY</x:v>
      </x:c>
      <x:c r="F197" s="82" t="str">
        <x:v>historical-valuation-v1.0.0</x:v>
      </x:c>
      <x:c r="G197" s="82" t="str">
        <x:v>TongDaXin historical PE/PB/dividend-yield cache</x:v>
      </x:c>
    </x:row>
    <x:row r="198" ht="15" hidden="0" customHeight="1">
      <x:c r="A198" s="83" t="str">
        <x:v>000025.SZ</x:v>
      </x:c>
      <x:c r="B198" s="82" t="str">
        <x:v>特 力Ａ</x:v>
      </x:c>
      <x:c r="C198" s="82" t="str">
        <x:v>历史低估关注</x:v>
      </x:c>
      <x:c r="D198" s="82" t="str">
        <x:v>CHEAP</x:v>
      </x:c>
      <x:c r="E198" s="82" t="str">
        <x:v>READY</x:v>
      </x:c>
      <x:c r="F198" s="82" t="str">
        <x:v>historical-valuation-v1.0.0</x:v>
      </x:c>
      <x:c r="G198" s="82" t="str">
        <x:v>TongDaXin historical PE/PB/dividend-yield cache</x:v>
      </x:c>
    </x:row>
    <x:row r="199" ht="15" hidden="0" customHeight="1">
      <x:c r="A199" s="83" t="str">
        <x:v>002004.SZ</x:v>
      </x:c>
      <x:c r="B199" s="82" t="str">
        <x:v>华邦健康</x:v>
      </x:c>
      <x:c r="C199" s="82" t="str">
        <x:v>历史低估关注</x:v>
      </x:c>
      <x:c r="D199" s="82" t="str">
        <x:v>CHEAP</x:v>
      </x:c>
      <x:c r="E199" s="82" t="str">
        <x:v>READY</x:v>
      </x:c>
      <x:c r="F199" s="82" t="str">
        <x:v>historical-valuation-v1.0.0</x:v>
      </x:c>
      <x:c r="G199" s="82" t="str">
        <x:v>TongDaXin historical PE/PB/dividend-yield cache</x:v>
      </x:c>
    </x:row>
    <x:row r="200" ht="15" hidden="0" customHeight="1">
      <x:c r="A200" s="83" t="str">
        <x:v>000726.SZ</x:v>
      </x:c>
      <x:c r="B200" s="82" t="str">
        <x:v>鲁 泰Ａ</x:v>
      </x:c>
      <x:c r="C200" s="82" t="str">
        <x:v>历史低估关注</x:v>
      </x:c>
      <x:c r="D200" s="82" t="str">
        <x:v>CHEAP</x:v>
      </x:c>
      <x:c r="E200" s="82" t="str">
        <x:v>READY</x:v>
      </x:c>
      <x:c r="F200" s="82" t="str">
        <x:v>historical-valuation-v1.0.0</x:v>
      </x:c>
      <x:c r="G200" s="82" t="str">
        <x:v>TongDaXin historical PE/PB/dividend-yield cache</x:v>
      </x:c>
    </x:row>
    <x:row r="201" ht="15" hidden="0" customHeight="1">
      <x:c r="A201" s="83" t="str">
        <x:v>002611.SZ</x:v>
      </x:c>
      <x:c r="B201" s="82" t="str">
        <x:v>东方精工</x:v>
      </x:c>
      <x:c r="C201" s="82" t="str">
        <x:v>历史低估关注</x:v>
      </x:c>
      <x:c r="D201" s="82" t="str">
        <x:v>CHEAP</x:v>
      </x:c>
      <x:c r="E201" s="82" t="str">
        <x:v>READY</x:v>
      </x:c>
      <x:c r="F201" s="82" t="str">
        <x:v>historical-valuation-v1.0.0</x:v>
      </x:c>
      <x:c r="G201" s="82" t="str">
        <x:v>TongDaXin historical PE/PB/dividend-yield cache</x:v>
      </x:c>
    </x:row>
    <x:row r="202" ht="15" hidden="0" customHeight="1">
      <x:c r="A202" s="83" t="str">
        <x:v>002472.SZ</x:v>
      </x:c>
      <x:c r="B202" s="82" t="str">
        <x:v>双环传动</x:v>
      </x:c>
      <x:c r="C202" s="82" t="str">
        <x:v>历史低估关注</x:v>
      </x:c>
      <x:c r="D202" s="82" t="str">
        <x:v>CHEAP</x:v>
      </x:c>
      <x:c r="E202" s="82" t="str">
        <x:v>READY</x:v>
      </x:c>
      <x:c r="F202" s="82" t="str">
        <x:v>historical-valuation-v1.0.0</x:v>
      </x:c>
      <x:c r="G202" s="82" t="str">
        <x:v>TongDaXin historical PE/PB/dividend-yield cache</x:v>
      </x:c>
    </x:row>
    <x:row r="203" ht="15" hidden="0" customHeight="1">
      <x:c r="A203" s="83" t="str">
        <x:v>688692.SH</x:v>
      </x:c>
      <x:c r="B203" s="82" t="str">
        <x:v>达梦数据</x:v>
      </x:c>
      <x:c r="C203" s="82" t="str">
        <x:v>历史低估关注</x:v>
      </x:c>
      <x:c r="D203" s="82" t="str">
        <x:v>CHEAP</x:v>
      </x:c>
      <x:c r="E203" s="82" t="str">
        <x:v>PARTIAL</x:v>
      </x:c>
      <x:c r="F203" s="82" t="str">
        <x:v>historical-valuation-v1.0.0</x:v>
      </x:c>
      <x:c r="G203" s="82" t="str">
        <x:v>TongDaXin historical PE/PB/dividend-yield cache</x:v>
      </x:c>
    </x:row>
    <x:row r="204" ht="15" hidden="0" customHeight="1">
      <x:c r="A204" s="83" t="str">
        <x:v>600760.SH</x:v>
      </x:c>
      <x:c r="B204" s="82" t="str">
        <x:v>中航沈飞</x:v>
      </x:c>
      <x:c r="C204" s="82" t="str">
        <x:v>历史低估关注</x:v>
      </x:c>
      <x:c r="D204" s="82" t="str">
        <x:v>CHEAP</x:v>
      </x:c>
      <x:c r="E204" s="82" t="str">
        <x:v>READY</x:v>
      </x:c>
      <x:c r="F204" s="82" t="str">
        <x:v>historical-valuation-v1.0.0</x:v>
      </x:c>
      <x:c r="G204" s="82" t="str">
        <x:v>TongDaXin historical PE/PB/dividend-yield cache</x:v>
      </x:c>
    </x:row>
    <x:row r="205" ht="15" hidden="0" customHeight="1">
      <x:c r="A205" s="83" t="str">
        <x:v>600968.SH</x:v>
      </x:c>
      <x:c r="B205" s="82" t="str">
        <x:v>海油发展</x:v>
      </x:c>
      <x:c r="C205" s="82" t="str">
        <x:v>历史低估关注</x:v>
      </x:c>
      <x:c r="D205" s="82" t="str">
        <x:v>CHEAP</x:v>
      </x:c>
      <x:c r="E205" s="82" t="str">
        <x:v>READY</x:v>
      </x:c>
      <x:c r="F205" s="82" t="str">
        <x:v>historical-valuation-v1.0.0</x:v>
      </x:c>
      <x:c r="G205" s="82" t="str">
        <x:v>TongDaXin historical PE/PB/dividend-yield cache</x:v>
      </x:c>
    </x:row>
    <x:row r="206" ht="15" hidden="0" customHeight="1">
      <x:c r="A206" s="83" t="str">
        <x:v>002967.SZ</x:v>
      </x:c>
      <x:c r="B206" s="82" t="str">
        <x:v>广电计量</x:v>
      </x:c>
      <x:c r="C206" s="82" t="str">
        <x:v>历史低估关注</x:v>
      </x:c>
      <x:c r="D206" s="82" t="str">
        <x:v>CHEAP</x:v>
      </x:c>
      <x:c r="E206" s="82" t="str">
        <x:v>READY</x:v>
      </x:c>
      <x:c r="F206" s="82" t="str">
        <x:v>historical-valuation-v1.0.0</x:v>
      </x:c>
      <x:c r="G206" s="82" t="str">
        <x:v>TongDaXin historical PE/PB/dividend-yield cache</x:v>
      </x:c>
    </x:row>
    <x:row r="207" ht="15" hidden="0" customHeight="1">
      <x:c r="A207" s="83" t="str">
        <x:v>601390.SH</x:v>
      </x:c>
      <x:c r="B207" s="82" t="str">
        <x:v>中国中铁</x:v>
      </x:c>
      <x:c r="C207" s="82" t="str">
        <x:v>历史低估关注</x:v>
      </x:c>
      <x:c r="D207" s="82" t="str">
        <x:v>CHEAP</x:v>
      </x:c>
      <x:c r="E207" s="82" t="str">
        <x:v>READY</x:v>
      </x:c>
      <x:c r="F207" s="82" t="str">
        <x:v>historical-valuation-v1.0.0</x:v>
      </x:c>
      <x:c r="G207" s="82" t="str">
        <x:v>TongDaXin historical PE/PB/dividend-yield cache</x:v>
      </x:c>
    </x:row>
    <x:row r="208" ht="15" hidden="0" customHeight="1">
      <x:c r="A208" s="83" t="str">
        <x:v>600867.SH</x:v>
      </x:c>
      <x:c r="B208" s="82" t="str">
        <x:v>通化东宝</x:v>
      </x:c>
      <x:c r="C208" s="82" t="str">
        <x:v>历史低估关注</x:v>
      </x:c>
      <x:c r="D208" s="82" t="str">
        <x:v>CHEAP</x:v>
      </x:c>
      <x:c r="E208" s="82" t="str">
        <x:v>READY</x:v>
      </x:c>
      <x:c r="F208" s="82" t="str">
        <x:v>historical-valuation-v1.0.0</x:v>
      </x:c>
      <x:c r="G208" s="82" t="str">
        <x:v>TongDaXin historical PE/PB/dividend-yield cache</x:v>
      </x:c>
    </x:row>
    <x:row r="209" ht="15" hidden="0" customHeight="1">
      <x:c r="A209" s="83" t="str">
        <x:v>600866.SH</x:v>
      </x:c>
      <x:c r="B209" s="82" t="str">
        <x:v>星湖科技</x:v>
      </x:c>
      <x:c r="C209" s="82" t="str">
        <x:v>历史低估关注</x:v>
      </x:c>
      <x:c r="D209" s="82" t="str">
        <x:v>CHEAP</x:v>
      </x:c>
      <x:c r="E209" s="82" t="str">
        <x:v>READY</x:v>
      </x:c>
      <x:c r="F209" s="82" t="str">
        <x:v>historical-valuation-v1.0.0</x:v>
      </x:c>
      <x:c r="G209" s="82" t="str">
        <x:v>TongDaXin historical PE/PB/dividend-yield cache</x:v>
      </x:c>
    </x:row>
    <x:row r="210" ht="15" hidden="0" customHeight="1">
      <x:c r="A210" s="83" t="str">
        <x:v>300651.SZ</x:v>
      </x:c>
      <x:c r="B210" s="82" t="str">
        <x:v>金陵体育</x:v>
      </x:c>
      <x:c r="C210" s="82" t="str">
        <x:v>历史低估关注</x:v>
      </x:c>
      <x:c r="D210" s="82" t="str">
        <x:v>CHEAP</x:v>
      </x:c>
      <x:c r="E210" s="82" t="str">
        <x:v>READY</x:v>
      </x:c>
      <x:c r="F210" s="82" t="str">
        <x:v>historical-valuation-v1.0.0</x:v>
      </x:c>
      <x:c r="G210" s="82" t="str">
        <x:v>TongDaXin historical PE/PB/dividend-yield cache</x:v>
      </x:c>
    </x:row>
    <x:row r="211" ht="15" hidden="0" customHeight="1">
      <x:c r="A211" s="83" t="str">
        <x:v>003025.SZ</x:v>
      </x:c>
      <x:c r="B211" s="82" t="str">
        <x:v>思进智能</x:v>
      </x:c>
      <x:c r="C211" s="82" t="str">
        <x:v>历史低估关注</x:v>
      </x:c>
      <x:c r="D211" s="82" t="str">
        <x:v>CHEAP</x:v>
      </x:c>
      <x:c r="E211" s="82" t="str">
        <x:v>READY</x:v>
      </x:c>
      <x:c r="F211" s="82" t="str">
        <x:v>historical-valuation-v1.0.0</x:v>
      </x:c>
      <x:c r="G211" s="82" t="str">
        <x:v>TongDaXin historical PE/PB/dividend-yield cache</x:v>
      </x:c>
    </x:row>
    <x:row r="212" ht="15" hidden="0" customHeight="1">
      <x:c r="A212" s="83" t="str">
        <x:v>301267.SZ</x:v>
      </x:c>
      <x:c r="B212" s="82" t="str">
        <x:v>华厦眼科</x:v>
      </x:c>
      <x:c r="C212" s="82" t="str">
        <x:v>历史低估关注</x:v>
      </x:c>
      <x:c r="D212" s="82" t="str">
        <x:v>CHEAP</x:v>
      </x:c>
      <x:c r="E212" s="82" t="str">
        <x:v>READY</x:v>
      </x:c>
      <x:c r="F212" s="82" t="str">
        <x:v>historical-valuation-v1.0.0</x:v>
      </x:c>
      <x:c r="G212" s="82" t="str">
        <x:v>TongDaXin historical PE/PB/dividend-yield cache</x:v>
      </x:c>
    </x:row>
    <x:row r="213" ht="15" hidden="0" customHeight="1">
      <x:c r="A213" s="83" t="str">
        <x:v>002772.SZ</x:v>
      </x:c>
      <x:c r="B213" s="82" t="str">
        <x:v>众兴菌业</x:v>
      </x:c>
      <x:c r="C213" s="82" t="str">
        <x:v>历史低估关注</x:v>
      </x:c>
      <x:c r="D213" s="82" t="str">
        <x:v>CHEAP</x:v>
      </x:c>
      <x:c r="E213" s="82" t="str">
        <x:v>READY</x:v>
      </x:c>
      <x:c r="F213" s="82" t="str">
        <x:v>historical-valuation-v1.0.0</x:v>
      </x:c>
      <x:c r="G213" s="82" t="str">
        <x:v>TongDaXin historical PE/PB/dividend-yield cache</x:v>
      </x:c>
    </x:row>
    <x:row r="214" ht="15" hidden="0" customHeight="1">
      <x:c r="A214" s="83" t="str">
        <x:v>688122.SH</x:v>
      </x:c>
      <x:c r="B214" s="82" t="str">
        <x:v>西部超导</x:v>
      </x:c>
      <x:c r="C214" s="82" t="str">
        <x:v>历史低估关注</x:v>
      </x:c>
      <x:c r="D214" s="82" t="str">
        <x:v>CHEAP</x:v>
      </x:c>
      <x:c r="E214" s="82" t="str">
        <x:v>READY</x:v>
      </x:c>
      <x:c r="F214" s="82" t="str">
        <x:v>historical-valuation-v1.0.0</x:v>
      </x:c>
      <x:c r="G214" s="82" t="str">
        <x:v>TongDaXin historical PE/PB/dividend-yield cache</x:v>
      </x:c>
    </x:row>
    <x:row r="215" ht="15" hidden="0" customHeight="1">
      <x:c r="A215" s="83" t="str">
        <x:v>000987.SZ</x:v>
      </x:c>
      <x:c r="B215" s="82" t="str">
        <x:v>越秀资本</x:v>
      </x:c>
      <x:c r="C215" s="82" t="str">
        <x:v>历史低估关注</x:v>
      </x:c>
      <x:c r="D215" s="82" t="str">
        <x:v>CHEAP</x:v>
      </x:c>
      <x:c r="E215" s="82" t="str">
        <x:v>READY</x:v>
      </x:c>
      <x:c r="F215" s="82" t="str">
        <x:v>historical-valuation-v1.0.0</x:v>
      </x:c>
      <x:c r="G215" s="82" t="str">
        <x:v>TongDaXin historical PE/PB/dividend-yield cache</x:v>
      </x:c>
    </x:row>
    <x:row r="216" ht="15" hidden="0" customHeight="1">
      <x:c r="A216" s="83" t="str">
        <x:v>603049.SH</x:v>
      </x:c>
      <x:c r="B216" s="82" t="str">
        <x:v>中策橡胶</x:v>
      </x:c>
      <x:c r="C216" s="82" t="str">
        <x:v>历史低估关注</x:v>
      </x:c>
      <x:c r="D216" s="82" t="str">
        <x:v>CHEAP</x:v>
      </x:c>
      <x:c r="E216" s="82" t="str">
        <x:v>PARTIAL</x:v>
      </x:c>
      <x:c r="F216" s="82" t="str">
        <x:v>historical-valuation-v1.0.0</x:v>
      </x:c>
      <x:c r="G216" s="82" t="str">
        <x:v>TongDaXin historical PE/PB/dividend-yield cache</x:v>
      </x:c>
    </x:row>
    <x:row r="217" ht="15" hidden="0" customHeight="1">
      <x:c r="A217" s="83" t="str">
        <x:v>688088.SH</x:v>
      </x:c>
      <x:c r="B217" s="82" t="str">
        <x:v>虹软科技</x:v>
      </x:c>
      <x:c r="C217" s="82" t="str">
        <x:v>历史低估关注</x:v>
      </x:c>
      <x:c r="D217" s="82" t="str">
        <x:v>CHEAP</x:v>
      </x:c>
      <x:c r="E217" s="82" t="str">
        <x:v>READY</x:v>
      </x:c>
      <x:c r="F217" s="82" t="str">
        <x:v>historical-valuation-v1.0.0</x:v>
      </x:c>
      <x:c r="G217" s="82" t="str">
        <x:v>TongDaXin historical PE/PB/dividend-yield cache</x:v>
      </x:c>
    </x:row>
    <x:row r="218" ht="15" hidden="0" customHeight="1">
      <x:c r="A218" s="83" t="str">
        <x:v>301303.SZ</x:v>
      </x:c>
      <x:c r="B218" s="82" t="str">
        <x:v>真兰仪表</x:v>
      </x:c>
      <x:c r="C218" s="82" t="str">
        <x:v>历史低估关注</x:v>
      </x:c>
      <x:c r="D218" s="82" t="str">
        <x:v>CHEAP</x:v>
      </x:c>
      <x:c r="E218" s="82" t="str">
        <x:v>READY</x:v>
      </x:c>
      <x:c r="F218" s="82" t="str">
        <x:v>historical-valuation-v1.0.0</x:v>
      </x:c>
      <x:c r="G218" s="82" t="str">
        <x:v>TongDaXin historical PE/PB/dividend-yield cache</x:v>
      </x:c>
    </x:row>
    <x:row r="219" ht="15" hidden="0" customHeight="1">
      <x:c r="A219" s="83" t="str">
        <x:v>600827.SH</x:v>
      </x:c>
      <x:c r="B219" s="82" t="str">
        <x:v>百联股份</x:v>
      </x:c>
      <x:c r="C219" s="82" t="str">
        <x:v>历史低估关注</x:v>
      </x:c>
      <x:c r="D219" s="82" t="str">
        <x:v>CHEAP</x:v>
      </x:c>
      <x:c r="E219" s="82" t="str">
        <x:v>READY</x:v>
      </x:c>
      <x:c r="F219" s="82" t="str">
        <x:v>historical-valuation-v1.0.0</x:v>
      </x:c>
      <x:c r="G219" s="82" t="str">
        <x:v>TongDaXin historical PE/PB/dividend-yield cache</x:v>
      </x:c>
    </x:row>
    <x:row r="220" ht="15" hidden="0" customHeight="1">
      <x:c r="A220" s="83" t="str">
        <x:v>605050.SH</x:v>
      </x:c>
      <x:c r="B220" s="82" t="str">
        <x:v>福然德</x:v>
      </x:c>
      <x:c r="C220" s="82" t="str">
        <x:v>历史低估关注</x:v>
      </x:c>
      <x:c r="D220" s="82" t="str">
        <x:v>CHEAP</x:v>
      </x:c>
      <x:c r="E220" s="82" t="str">
        <x:v>READY</x:v>
      </x:c>
      <x:c r="F220" s="82" t="str">
        <x:v>historical-valuation-v1.0.0</x:v>
      </x:c>
      <x:c r="G220" s="82" t="str">
        <x:v>TongDaXin historical PE/PB/dividend-yield cache</x:v>
      </x:c>
    </x:row>
    <x:row r="221" ht="15" hidden="0" customHeight="1">
      <x:c r="A221" s="83" t="str">
        <x:v>002170.SZ</x:v>
      </x:c>
      <x:c r="B221" s="82" t="str">
        <x:v>芭田股份</x:v>
      </x:c>
      <x:c r="C221" s="82" t="str">
        <x:v>历史低估关注</x:v>
      </x:c>
      <x:c r="D221" s="82" t="str">
        <x:v>CHEAP</x:v>
      </x:c>
      <x:c r="E221" s="82" t="str">
        <x:v>READY</x:v>
      </x:c>
      <x:c r="F221" s="82" t="str">
        <x:v>historical-valuation-v1.0.0</x:v>
      </x:c>
      <x:c r="G221" s="82" t="str">
        <x:v>TongDaXin historical PE/PB/dividend-yield cache</x:v>
      </x:c>
    </x:row>
    <x:row r="222" ht="15" hidden="0" customHeight="1">
      <x:c r="A222" s="83" t="str">
        <x:v>600461.SH</x:v>
      </x:c>
      <x:c r="B222" s="82" t="str">
        <x:v>洪城环境</x:v>
      </x:c>
      <x:c r="C222" s="82" t="str">
        <x:v>历史低估关注</x:v>
      </x:c>
      <x:c r="D222" s="82" t="str">
        <x:v>CHEAP</x:v>
      </x:c>
      <x:c r="E222" s="82" t="str">
        <x:v>READY</x:v>
      </x:c>
      <x:c r="F222" s="82" t="str">
        <x:v>historical-valuation-v1.0.0</x:v>
      </x:c>
      <x:c r="G222" s="82" t="str">
        <x:v>TongDaXin historical PE/PB/dividend-yield cache</x:v>
      </x:c>
    </x:row>
    <x:row r="223" ht="15" hidden="0" customHeight="1">
      <x:c r="A223" s="83" t="str">
        <x:v>002299.SZ</x:v>
      </x:c>
      <x:c r="B223" s="82" t="str">
        <x:v>圣农发展</x:v>
      </x:c>
      <x:c r="C223" s="82" t="str">
        <x:v>历史低估关注</x:v>
      </x:c>
      <x:c r="D223" s="82" t="str">
        <x:v>CHEAP</x:v>
      </x:c>
      <x:c r="E223" s="82" t="str">
        <x:v>READY</x:v>
      </x:c>
      <x:c r="F223" s="82" t="str">
        <x:v>historical-valuation-v1.0.0</x:v>
      </x:c>
      <x:c r="G223" s="82" t="str">
        <x:v>TongDaXin historical PE/PB/dividend-yield cache</x:v>
      </x:c>
    </x:row>
    <x:row r="224" ht="15" hidden="0" customHeight="1">
      <x:c r="A224" s="83" t="str">
        <x:v>300274.SZ</x:v>
      </x:c>
      <x:c r="B224" s="82" t="str">
        <x:v>阳光电源</x:v>
      </x:c>
      <x:c r="C224" s="82" t="str">
        <x:v>历史低估关注</x:v>
      </x:c>
      <x:c r="D224" s="82" t="str">
        <x:v>CHEAP</x:v>
      </x:c>
      <x:c r="E224" s="82" t="str">
        <x:v>READY</x:v>
      </x:c>
      <x:c r="F224" s="82" t="str">
        <x:v>historical-valuation-v1.0.0</x:v>
      </x:c>
      <x:c r="G224" s="82" t="str">
        <x:v>TongDaXin historical PE/PB/dividend-yield cache</x:v>
      </x:c>
    </x:row>
    <x:row r="225" ht="15" hidden="0" customHeight="1">
      <x:c r="A225" s="83" t="str">
        <x:v>002683.SZ</x:v>
      </x:c>
      <x:c r="B225" s="82" t="str">
        <x:v>广东宏大</x:v>
      </x:c>
      <x:c r="C225" s="82" t="str">
        <x:v>历史低估关注</x:v>
      </x:c>
      <x:c r="D225" s="82" t="str">
        <x:v>CHEAP</x:v>
      </x:c>
      <x:c r="E225" s="82" t="str">
        <x:v>READY</x:v>
      </x:c>
      <x:c r="F225" s="82" t="str">
        <x:v>historical-valuation-v1.0.0</x:v>
      </x:c>
      <x:c r="G225" s="82" t="str">
        <x:v>TongDaXin historical PE/PB/dividend-yield cache</x:v>
      </x:c>
    </x:row>
    <x:row r="226" ht="15" hidden="0" customHeight="1">
      <x:c r="A226" s="83" t="str">
        <x:v>301219.SZ</x:v>
      </x:c>
      <x:c r="B226" s="82" t="str">
        <x:v>腾远钴业</x:v>
      </x:c>
      <x:c r="C226" s="82" t="str">
        <x:v>历史低估关注</x:v>
      </x:c>
      <x:c r="D226" s="82" t="str">
        <x:v>CHEAP</x:v>
      </x:c>
      <x:c r="E226" s="82" t="str">
        <x:v>READY</x:v>
      </x:c>
      <x:c r="F226" s="82" t="str">
        <x:v>historical-valuation-v1.0.0</x:v>
      </x:c>
      <x:c r="G226" s="82" t="str">
        <x:v>TongDaXin historical PE/PB/dividend-yield cache</x:v>
      </x:c>
    </x:row>
    <x:row r="227" ht="15" hidden="0" customHeight="1">
      <x:c r="A227" s="83" t="str">
        <x:v>600018.SH</x:v>
      </x:c>
      <x:c r="B227" s="82" t="str">
        <x:v>上港集团</x:v>
      </x:c>
      <x:c r="C227" s="82" t="str">
        <x:v>历史低估关注</x:v>
      </x:c>
      <x:c r="D227" s="82" t="str">
        <x:v>CHEAP</x:v>
      </x:c>
      <x:c r="E227" s="82" t="str">
        <x:v>READY</x:v>
      </x:c>
      <x:c r="F227" s="82" t="str">
        <x:v>historical-valuation-v1.0.0</x:v>
      </x:c>
      <x:c r="G227" s="82" t="str">
        <x:v>TongDaXin historical PE/PB/dividend-yield cache</x:v>
      </x:c>
    </x:row>
    <x:row r="228" ht="15" hidden="0" customHeight="1">
      <x:c r="A228" s="83" t="str">
        <x:v>688543.SH</x:v>
      </x:c>
      <x:c r="B228" s="82" t="str">
        <x:v>国科军工</x:v>
      </x:c>
      <x:c r="C228" s="82" t="str">
        <x:v>历史低估关注</x:v>
      </x:c>
      <x:c r="D228" s="82" t="str">
        <x:v>CHEAP</x:v>
      </x:c>
      <x:c r="E228" s="82" t="str">
        <x:v>READY</x:v>
      </x:c>
      <x:c r="F228" s="82" t="str">
        <x:v>historical-valuation-v1.0.0</x:v>
      </x:c>
      <x:c r="G228" s="82" t="str">
        <x:v>TongDaXin historical PE/PB/dividend-yield cache</x:v>
      </x:c>
    </x:row>
    <x:row r="229" ht="15" hidden="0" customHeight="1">
      <x:c r="A229" s="83" t="str">
        <x:v>605338.SH</x:v>
      </x:c>
      <x:c r="B229" s="82" t="str">
        <x:v>巴比食品</x:v>
      </x:c>
      <x:c r="C229" s="82" t="str">
        <x:v>历史低估关注</x:v>
      </x:c>
      <x:c r="D229" s="82" t="str">
        <x:v>CHEAP</x:v>
      </x:c>
      <x:c r="E229" s="82" t="str">
        <x:v>READY</x:v>
      </x:c>
      <x:c r="F229" s="82" t="str">
        <x:v>historical-valuation-v1.0.0</x:v>
      </x:c>
      <x:c r="G229" s="82" t="str">
        <x:v>TongDaXin historical PE/PB/dividend-yield cache</x:v>
      </x:c>
    </x:row>
    <x:row r="230" ht="15" hidden="0" customHeight="1">
      <x:c r="A230" s="83" t="str">
        <x:v>601083.SH</x:v>
      </x:c>
      <x:c r="B230" s="82" t="str">
        <x:v>锦江航运</x:v>
      </x:c>
      <x:c r="C230" s="82" t="str">
        <x:v>历史低估关注</x:v>
      </x:c>
      <x:c r="D230" s="82" t="str">
        <x:v>CHEAP</x:v>
      </x:c>
      <x:c r="E230" s="82" t="str">
        <x:v>PARTIAL</x:v>
      </x:c>
      <x:c r="F230" s="82" t="str">
        <x:v>historical-valuation-v1.0.0</x:v>
      </x:c>
      <x:c r="G230" s="82" t="str">
        <x:v>TongDaXin historical PE/PB/dividend-yield cache</x:v>
      </x:c>
    </x:row>
    <x:row r="231" ht="15" hidden="0" customHeight="1">
      <x:c r="A231" s="83" t="str">
        <x:v>603733.SH</x:v>
      </x:c>
      <x:c r="B231" s="82" t="str">
        <x:v>仙鹤股份</x:v>
      </x:c>
      <x:c r="C231" s="82" t="str">
        <x:v>历史低估关注</x:v>
      </x:c>
      <x:c r="D231" s="82" t="str">
        <x:v>CHEAP</x:v>
      </x:c>
      <x:c r="E231" s="82" t="str">
        <x:v>READY</x:v>
      </x:c>
      <x:c r="F231" s="82" t="str">
        <x:v>historical-valuation-v1.0.0</x:v>
      </x:c>
      <x:c r="G231" s="82" t="str">
        <x:v>TongDaXin historical PE/PB/dividend-yield cache</x:v>
      </x:c>
    </x:row>
    <x:row r="232" ht="15" hidden="0" customHeight="1">
      <x:c r="A232" s="83" t="str">
        <x:v>300864.SZ</x:v>
      </x:c>
      <x:c r="B232" s="82" t="str">
        <x:v>南大环境</x:v>
      </x:c>
      <x:c r="C232" s="82" t="str">
        <x:v>历史低估关注</x:v>
      </x:c>
      <x:c r="D232" s="82" t="str">
        <x:v>CHEAP</x:v>
      </x:c>
      <x:c r="E232" s="82" t="str">
        <x:v>READY</x:v>
      </x:c>
      <x:c r="F232" s="82" t="str">
        <x:v>historical-valuation-v1.0.0</x:v>
      </x:c>
      <x:c r="G232" s="82" t="str">
        <x:v>TongDaXin historical PE/PB/dividend-yield cache</x:v>
      </x:c>
    </x:row>
    <x:row r="233" ht="15" hidden="0" customHeight="1">
      <x:c r="A233" s="83" t="str">
        <x:v>002223.SZ</x:v>
      </x:c>
      <x:c r="B233" s="82" t="str">
        <x:v>鱼跃医疗</x:v>
      </x:c>
      <x:c r="C233" s="82" t="str">
        <x:v>历史低估关注</x:v>
      </x:c>
      <x:c r="D233" s="82" t="str">
        <x:v>CHEAP</x:v>
      </x:c>
      <x:c r="E233" s="82" t="str">
        <x:v>READY</x:v>
      </x:c>
      <x:c r="F233" s="82" t="str">
        <x:v>historical-valuation-v1.0.0</x:v>
      </x:c>
      <x:c r="G233" s="82" t="str">
        <x:v>TongDaXin historical PE/PB/dividend-yield cache</x:v>
      </x:c>
    </x:row>
    <x:row r="234" ht="15" hidden="0" customHeight="1">
      <x:c r="A234" s="83" t="str">
        <x:v>601186.SH</x:v>
      </x:c>
      <x:c r="B234" s="82" t="str">
        <x:v>中国铁建</x:v>
      </x:c>
      <x:c r="C234" s="82" t="str">
        <x:v>历史低估关注</x:v>
      </x:c>
      <x:c r="D234" s="82" t="str">
        <x:v>CHEAP</x:v>
      </x:c>
      <x:c r="E234" s="82" t="str">
        <x:v>READY</x:v>
      </x:c>
      <x:c r="F234" s="82" t="str">
        <x:v>historical-valuation-v1.0.0</x:v>
      </x:c>
      <x:c r="G234" s="82" t="str">
        <x:v>TongDaXin historical PE/PB/dividend-yield cache</x:v>
      </x:c>
    </x:row>
    <x:row r="235" ht="15" hidden="0" customHeight="1">
      <x:c r="A235" s="83" t="str">
        <x:v>301283.SZ</x:v>
      </x:c>
      <x:c r="B235" s="82" t="str">
        <x:v>聚胶股份</x:v>
      </x:c>
      <x:c r="C235" s="82" t="str">
        <x:v>历史低估关注</x:v>
      </x:c>
      <x:c r="D235" s="82" t="str">
        <x:v>CHEAP</x:v>
      </x:c>
      <x:c r="E235" s="82" t="str">
        <x:v>READY</x:v>
      </x:c>
      <x:c r="F235" s="82" t="str">
        <x:v>historical-valuation-v1.0.0</x:v>
      </x:c>
      <x:c r="G235" s="82" t="str">
        <x:v>TongDaXin historical PE/PB/dividend-yield cache</x:v>
      </x:c>
    </x:row>
    <x:row r="236" ht="15" hidden="0" customHeight="1">
      <x:c r="A236" s="83" t="str">
        <x:v>603338.SH</x:v>
      </x:c>
      <x:c r="B236" s="82" t="str">
        <x:v>浙江鼎力</x:v>
      </x:c>
      <x:c r="C236" s="82" t="str">
        <x:v>历史低估关注</x:v>
      </x:c>
      <x:c r="D236" s="82" t="str">
        <x:v>CHEAP</x:v>
      </x:c>
      <x:c r="E236" s="82" t="str">
        <x:v>READY</x:v>
      </x:c>
      <x:c r="F236" s="82" t="str">
        <x:v>historical-valuation-v1.0.0</x:v>
      </x:c>
      <x:c r="G236" s="82" t="str">
        <x:v>TongDaXin historical PE/PB/dividend-yield cache</x:v>
      </x:c>
    </x:row>
    <x:row r="237" ht="15" hidden="0" customHeight="1">
      <x:c r="A237" s="83" t="str">
        <x:v>300913.SZ</x:v>
      </x:c>
      <x:c r="B237" s="82" t="str">
        <x:v>兆龙互连</x:v>
      </x:c>
      <x:c r="C237" s="82" t="str">
        <x:v>历史低估关注</x:v>
      </x:c>
      <x:c r="D237" s="82" t="str">
        <x:v>CHEAP</x:v>
      </x:c>
      <x:c r="E237" s="82" t="str">
        <x:v>READY</x:v>
      </x:c>
      <x:c r="F237" s="82" t="str">
        <x:v>historical-valuation-v1.0.0</x:v>
      </x:c>
      <x:c r="G237" s="82" t="str">
        <x:v>TongDaXin historical PE/PB/dividend-yield cache</x:v>
      </x:c>
    </x:row>
    <x:row r="238" ht="15" hidden="0" customHeight="1">
      <x:c r="A238" s="83" t="str">
        <x:v>000600.SZ</x:v>
      </x:c>
      <x:c r="B238" s="82" t="str">
        <x:v>建投能源</x:v>
      </x:c>
      <x:c r="C238" s="82" t="str">
        <x:v>历史低估关注</x:v>
      </x:c>
      <x:c r="D238" s="82" t="str">
        <x:v>CHEAP</x:v>
      </x:c>
      <x:c r="E238" s="82" t="str">
        <x:v>READY</x:v>
      </x:c>
      <x:c r="F238" s="82" t="str">
        <x:v>historical-valuation-v1.0.0</x:v>
      </x:c>
      <x:c r="G238" s="82" t="str">
        <x:v>TongDaXin historical PE/PB/dividend-yield cache</x:v>
      </x:c>
    </x:row>
    <x:row r="239" ht="15" hidden="0" customHeight="1">
      <x:c r="A239" s="83" t="str">
        <x:v>002867.SZ</x:v>
      </x:c>
      <x:c r="B239" s="82" t="str">
        <x:v>周大生</x:v>
      </x:c>
      <x:c r="C239" s="82" t="str">
        <x:v>历史低估关注</x:v>
      </x:c>
      <x:c r="D239" s="82" t="str">
        <x:v>CHEAP</x:v>
      </x:c>
      <x:c r="E239" s="82" t="str">
        <x:v>READY</x:v>
      </x:c>
      <x:c r="F239" s="82" t="str">
        <x:v>historical-valuation-v1.0.0</x:v>
      </x:c>
      <x:c r="G239" s="82" t="str">
        <x:v>TongDaXin historical PE/PB/dividend-yield cache</x:v>
      </x:c>
    </x:row>
    <x:row r="240" ht="15" hidden="0" customHeight="1">
      <x:c r="A240" s="83" t="str">
        <x:v>301031.SZ</x:v>
      </x:c>
      <x:c r="B240" s="82" t="str">
        <x:v>中熔电气</x:v>
      </x:c>
      <x:c r="C240" s="82" t="str">
        <x:v>历史低估关注</x:v>
      </x:c>
      <x:c r="D240" s="82" t="str">
        <x:v>CHEAP</x:v>
      </x:c>
      <x:c r="E240" s="82" t="str">
        <x:v>READY</x:v>
      </x:c>
      <x:c r="F240" s="82" t="str">
        <x:v>historical-valuation-v1.0.0</x:v>
      </x:c>
      <x:c r="G240" s="82" t="str">
        <x:v>TongDaXin historical PE/PB/dividend-yield cache</x:v>
      </x:c>
    </x:row>
    <x:row r="241" ht="15" hidden="0" customHeight="1">
      <x:c r="A241" s="83" t="str">
        <x:v>300206.SZ</x:v>
      </x:c>
      <x:c r="B241" s="82" t="str">
        <x:v>理邦仪器</x:v>
      </x:c>
      <x:c r="C241" s="82" t="str">
        <x:v>历史低估关注</x:v>
      </x:c>
      <x:c r="D241" s="82" t="str">
        <x:v>CHEAP</x:v>
      </x:c>
      <x:c r="E241" s="82" t="str">
        <x:v>READY</x:v>
      </x:c>
      <x:c r="F241" s="82" t="str">
        <x:v>historical-valuation-v1.0.0</x:v>
      </x:c>
      <x:c r="G241" s="82" t="str">
        <x:v>TongDaXin historical PE/PB/dividend-yield cache</x:v>
      </x:c>
    </x:row>
    <x:row r="242" ht="15" hidden="0" customHeight="1">
      <x:c r="A242" s="83" t="str">
        <x:v>600356.SH</x:v>
      </x:c>
      <x:c r="B242" s="82" t="str">
        <x:v>恒丰纸业</x:v>
      </x:c>
      <x:c r="C242" s="82" t="str">
        <x:v>历史低估关注</x:v>
      </x:c>
      <x:c r="D242" s="82" t="str">
        <x:v>CHEAP</x:v>
      </x:c>
      <x:c r="E242" s="82" t="str">
        <x:v>READY</x:v>
      </x:c>
      <x:c r="F242" s="82" t="str">
        <x:v>historical-valuation-v1.0.0</x:v>
      </x:c>
      <x:c r="G242" s="82" t="str">
        <x:v>TongDaXin historical PE/PB/dividend-yield cache</x:v>
      </x:c>
    </x:row>
    <x:row r="243" ht="15" hidden="0" customHeight="1">
      <x:c r="A243" s="83" t="str">
        <x:v>600642.SH</x:v>
      </x:c>
      <x:c r="B243" s="82" t="str">
        <x:v>申能股份</x:v>
      </x:c>
      <x:c r="C243" s="82" t="str">
        <x:v>历史低估关注</x:v>
      </x:c>
      <x:c r="D243" s="82" t="str">
        <x:v>CHEAP</x:v>
      </x:c>
      <x:c r="E243" s="82" t="str">
        <x:v>READY</x:v>
      </x:c>
      <x:c r="F243" s="82" t="str">
        <x:v>historical-valuation-v1.0.0</x:v>
      </x:c>
      <x:c r="G243" s="82" t="str">
        <x:v>TongDaXin historical PE/PB/dividend-yield cache</x:v>
      </x:c>
    </x:row>
    <x:row r="244" ht="15" hidden="0" customHeight="1">
      <x:c r="A244" s="83" t="str">
        <x:v>601890.SH</x:v>
      </x:c>
      <x:c r="B244" s="82" t="str">
        <x:v>亚星锚链</x:v>
      </x:c>
      <x:c r="C244" s="82" t="str">
        <x:v>历史低估关注</x:v>
      </x:c>
      <x:c r="D244" s="82" t="str">
        <x:v>CHEAP</x:v>
      </x:c>
      <x:c r="E244" s="82" t="str">
        <x:v>READY</x:v>
      </x:c>
      <x:c r="F244" s="82" t="str">
        <x:v>historical-valuation-v1.0.0</x:v>
      </x:c>
      <x:c r="G244" s="82" t="str">
        <x:v>TongDaXin historical PE/PB/dividend-yield cache</x:v>
      </x:c>
    </x:row>
    <x:row r="245" ht="15" hidden="0" customHeight="1">
      <x:c r="A245" s="83" t="str">
        <x:v>301538.SZ</x:v>
      </x:c>
      <x:c r="B245" s="82" t="str">
        <x:v>骏鼎达</x:v>
      </x:c>
      <x:c r="C245" s="82" t="str">
        <x:v>历史低估关注</x:v>
      </x:c>
      <x:c r="D245" s="82" t="str">
        <x:v>CHEAP</x:v>
      </x:c>
      <x:c r="E245" s="82" t="str">
        <x:v>PARTIAL</x:v>
      </x:c>
      <x:c r="F245" s="82" t="str">
        <x:v>historical-valuation-v1.0.0</x:v>
      </x:c>
      <x:c r="G245" s="82" t="str">
        <x:v>TongDaXin historical PE/PB/dividend-yield cache</x:v>
      </x:c>
    </x:row>
    <x:row r="246" ht="15" hidden="0" customHeight="1">
      <x:c r="A246" s="83" t="str">
        <x:v>688389.SH</x:v>
      </x:c>
      <x:c r="B246" s="82" t="str">
        <x:v>普门科技</x:v>
      </x:c>
      <x:c r="C246" s="82" t="str">
        <x:v>历史低估关注</x:v>
      </x:c>
      <x:c r="D246" s="82" t="str">
        <x:v>CHEAP</x:v>
      </x:c>
      <x:c r="E246" s="82" t="str">
        <x:v>READY</x:v>
      </x:c>
      <x:c r="F246" s="82" t="str">
        <x:v>historical-valuation-v1.0.0</x:v>
      </x:c>
      <x:c r="G246" s="82" t="str">
        <x:v>TongDaXin historical PE/PB/dividend-yield cache</x:v>
      </x:c>
    </x:row>
    <x:row r="247" ht="15" hidden="0" customHeight="1">
      <x:c r="A247" s="83" t="str">
        <x:v>002006.SZ</x:v>
      </x:c>
      <x:c r="B247" s="82" t="str">
        <x:v>精工科技</x:v>
      </x:c>
      <x:c r="C247" s="82" t="str">
        <x:v>历史低估关注</x:v>
      </x:c>
      <x:c r="D247" s="82" t="str">
        <x:v>CHEAP</x:v>
      </x:c>
      <x:c r="E247" s="82" t="str">
        <x:v>READY</x:v>
      </x:c>
      <x:c r="F247" s="82" t="str">
        <x:v>historical-valuation-v1.0.0</x:v>
      </x:c>
      <x:c r="G247" s="82" t="str">
        <x:v>TongDaXin historical PE/PB/dividend-yield cache</x:v>
      </x:c>
    </x:row>
    <x:row r="248" ht="15" hidden="0" customHeight="1">
      <x:c r="A248" s="83" t="str">
        <x:v>002159.SZ</x:v>
      </x:c>
      <x:c r="B248" s="82" t="str">
        <x:v>三特索道</x:v>
      </x:c>
      <x:c r="C248" s="82" t="str">
        <x:v>历史低估关注</x:v>
      </x:c>
      <x:c r="D248" s="82" t="str">
        <x:v>CHEAP</x:v>
      </x:c>
      <x:c r="E248" s="82" t="str">
        <x:v>READY</x:v>
      </x:c>
      <x:c r="F248" s="82" t="str">
        <x:v>historical-valuation-v1.0.0</x:v>
      </x:c>
      <x:c r="G248" s="82" t="str">
        <x:v>TongDaXin historical PE/PB/dividend-yield cache</x:v>
      </x:c>
    </x:row>
    <x:row r="249" ht="15" hidden="0" customHeight="1">
      <x:c r="A249" s="83" t="str">
        <x:v>002206.SZ</x:v>
      </x:c>
      <x:c r="B249" s="82" t="str">
        <x:v>海 利 得</x:v>
      </x:c>
      <x:c r="C249" s="82" t="str">
        <x:v>历史低估关注</x:v>
      </x:c>
      <x:c r="D249" s="82" t="str">
        <x:v>CHEAP</x:v>
      </x:c>
      <x:c r="E249" s="82" t="str">
        <x:v>READY</x:v>
      </x:c>
      <x:c r="F249" s="82" t="str">
        <x:v>historical-valuation-v1.0.0</x:v>
      </x:c>
      <x:c r="G249" s="82" t="str">
        <x:v>TongDaXin historical PE/PB/dividend-yield cache</x:v>
      </x:c>
    </x:row>
    <x:row r="250" ht="15" hidden="0" customHeight="1">
      <x:c r="A250" s="83" t="str">
        <x:v>603029.SH</x:v>
      </x:c>
      <x:c r="B250" s="82" t="str">
        <x:v>天鹅股份</x:v>
      </x:c>
      <x:c r="C250" s="82" t="str">
        <x:v>历史低估关注</x:v>
      </x:c>
      <x:c r="D250" s="82" t="str">
        <x:v>CHEAP</x:v>
      </x:c>
      <x:c r="E250" s="82" t="str">
        <x:v>READY</x:v>
      </x:c>
      <x:c r="F250" s="82" t="str">
        <x:v>historical-valuation-v1.0.0</x:v>
      </x:c>
      <x:c r="G250" s="82" t="str">
        <x:v>TongDaXin historical PE/PB/dividend-yield cache</x:v>
      </x:c>
    </x:row>
    <x:row r="251" ht="15" hidden="0" customHeight="1">
      <x:c r="A251" s="83" t="str">
        <x:v>603406.SH</x:v>
      </x:c>
      <x:c r="B251" s="82" t="str">
        <x:v>天富龙</x:v>
      </x:c>
      <x:c r="C251" s="82" t="str">
        <x:v>历史低估关注</x:v>
      </x:c>
      <x:c r="D251" s="82" t="str">
        <x:v>CHEAP</x:v>
      </x:c>
      <x:c r="E251" s="82" t="str">
        <x:v>PARTIAL</x:v>
      </x:c>
      <x:c r="F251" s="82" t="str">
        <x:v>historical-valuation-v1.0.0</x:v>
      </x:c>
      <x:c r="G251" s="82" t="str">
        <x:v>TongDaXin historical PE/PB/dividend-yield cache</x:v>
      </x:c>
    </x:row>
    <x:row r="252" ht="15" hidden="0" customHeight="1">
      <x:c r="A252" s="83" t="str">
        <x:v>002007.SZ</x:v>
      </x:c>
      <x:c r="B252" s="82" t="str">
        <x:v>华兰生物</x:v>
      </x:c>
      <x:c r="C252" s="82" t="str">
        <x:v>历史低估关注</x:v>
      </x:c>
      <x:c r="D252" s="82" t="str">
        <x:v>CHEAP</x:v>
      </x:c>
      <x:c r="E252" s="82" t="str">
        <x:v>READY</x:v>
      </x:c>
      <x:c r="F252" s="82" t="str">
        <x:v>historical-valuation-v1.0.0</x:v>
      </x:c>
      <x:c r="G252" s="82" t="str">
        <x:v>TongDaXin historical PE/PB/dividend-yield cache</x:v>
      </x:c>
    </x:row>
    <x:row r="253" ht="15" hidden="0" customHeight="1">
      <x:c r="A253" s="83" t="str">
        <x:v>688819.SH</x:v>
      </x:c>
      <x:c r="B253" s="82" t="str">
        <x:v>天能股份</x:v>
      </x:c>
      <x:c r="C253" s="82" t="str">
        <x:v>历史低估关注</x:v>
      </x:c>
      <x:c r="D253" s="82" t="str">
        <x:v>CHEAP</x:v>
      </x:c>
      <x:c r="E253" s="82" t="str">
        <x:v>READY</x:v>
      </x:c>
      <x:c r="F253" s="82" t="str">
        <x:v>historical-valuation-v1.0.0</x:v>
      </x:c>
      <x:c r="G253" s="82" t="str">
        <x:v>TongDaXin historical PE/PB/dividend-yield cache</x:v>
      </x:c>
    </x:row>
    <x:row r="254" ht="15" hidden="0" customHeight="1">
      <x:c r="A254" s="83" t="str">
        <x:v>300292.SZ</x:v>
      </x:c>
      <x:c r="B254" s="82" t="str">
        <x:v>吴通控股</x:v>
      </x:c>
      <x:c r="C254" s="82" t="str">
        <x:v>历史低估关注</x:v>
      </x:c>
      <x:c r="D254" s="82" t="str">
        <x:v>CHEAP</x:v>
      </x:c>
      <x:c r="E254" s="82" t="str">
        <x:v>READY</x:v>
      </x:c>
      <x:c r="F254" s="82" t="str">
        <x:v>historical-valuation-v1.0.0</x:v>
      </x:c>
      <x:c r="G254" s="82" t="str">
        <x:v>TongDaXin historical PE/PB/dividend-yield cache</x:v>
      </x:c>
    </x:row>
    <x:row r="255" ht="15" hidden="0" customHeight="1">
      <x:c r="A255" s="83" t="str">
        <x:v>600059.SH</x:v>
      </x:c>
      <x:c r="B255" s="82" t="str">
        <x:v>古越龙山</x:v>
      </x:c>
      <x:c r="C255" s="82" t="str">
        <x:v>历史低估关注</x:v>
      </x:c>
      <x:c r="D255" s="82" t="str">
        <x:v>CHEAP</x:v>
      </x:c>
      <x:c r="E255" s="82" t="str">
        <x:v>READY</x:v>
      </x:c>
      <x:c r="F255" s="82" t="str">
        <x:v>historical-valuation-v1.0.0</x:v>
      </x:c>
      <x:c r="G255" s="82" t="str">
        <x:v>TongDaXin historical PE/PB/dividend-yield cache</x:v>
      </x:c>
    </x:row>
    <x:row r="256" ht="15" hidden="0" customHeight="1">
      <x:c r="A256" s="83" t="str">
        <x:v>603713.SH</x:v>
      </x:c>
      <x:c r="B256" s="82" t="str">
        <x:v>密尔克卫</x:v>
      </x:c>
      <x:c r="C256" s="82" t="str">
        <x:v>历史低估关注</x:v>
      </x:c>
      <x:c r="D256" s="82" t="str">
        <x:v>CHEAP</x:v>
      </x:c>
      <x:c r="E256" s="82" t="str">
        <x:v>READY</x:v>
      </x:c>
      <x:c r="F256" s="82" t="str">
        <x:v>historical-valuation-v1.0.0</x:v>
      </x:c>
      <x:c r="G256" s="82" t="str">
        <x:v>TongDaXin historical PE/PB/dividend-yield cache</x:v>
      </x:c>
    </x:row>
    <x:row r="257" ht="15" hidden="0" customHeight="1">
      <x:c r="A257" s="83" t="str">
        <x:v>600639.SH</x:v>
      </x:c>
      <x:c r="B257" s="82" t="str">
        <x:v>浦东金桥</x:v>
      </x:c>
      <x:c r="C257" s="82" t="str">
        <x:v>历史低估关注</x:v>
      </x:c>
      <x:c r="D257" s="82" t="str">
        <x:v>CHEAP</x:v>
      </x:c>
      <x:c r="E257" s="82" t="str">
        <x:v>READY</x:v>
      </x:c>
      <x:c r="F257" s="82" t="str">
        <x:v>historical-valuation-v1.0.0</x:v>
      </x:c>
      <x:c r="G257" s="82" t="str">
        <x:v>TongDaXin historical PE/PB/dividend-yield cache</x:v>
      </x:c>
    </x:row>
    <x:row r="258" ht="15" hidden="0" customHeight="1">
      <x:c r="A258" s="83" t="str">
        <x:v>002226.SZ</x:v>
      </x:c>
      <x:c r="B258" s="82" t="str">
        <x:v>江南化工</x:v>
      </x:c>
      <x:c r="C258" s="82" t="str">
        <x:v>历史低估关注</x:v>
      </x:c>
      <x:c r="D258" s="82" t="str">
        <x:v>CHEAP</x:v>
      </x:c>
      <x:c r="E258" s="82" t="str">
        <x:v>READY</x:v>
      </x:c>
      <x:c r="F258" s="82" t="str">
        <x:v>historical-valuation-v1.0.0</x:v>
      </x:c>
      <x:c r="G258" s="82" t="str">
        <x:v>TongDaXin historical PE/PB/dividend-yield cache</x:v>
      </x:c>
    </x:row>
    <x:row r="259" ht="15" hidden="0" customHeight="1">
      <x:c r="A259" s="83" t="str">
        <x:v>001207.SZ</x:v>
      </x:c>
      <x:c r="B259" s="82" t="str">
        <x:v>联科科技</x:v>
      </x:c>
      <x:c r="C259" s="82" t="str">
        <x:v>历史低估关注</x:v>
      </x:c>
      <x:c r="D259" s="82" t="str">
        <x:v>CHEAP</x:v>
      </x:c>
      <x:c r="E259" s="82" t="str">
        <x:v>READY</x:v>
      </x:c>
      <x:c r="F259" s="82" t="str">
        <x:v>historical-valuation-v1.0.0</x:v>
      </x:c>
      <x:c r="G259" s="82" t="str">
        <x:v>TongDaXin historical PE/PB/dividend-yield cache</x:v>
      </x:c>
    </x:row>
    <x:row r="260" ht="15" hidden="0" customHeight="1">
      <x:c r="A260" s="83" t="str">
        <x:v>688349.SH</x:v>
      </x:c>
      <x:c r="B260" s="82" t="str">
        <x:v>三一重能</x:v>
      </x:c>
      <x:c r="C260" s="82" t="str">
        <x:v>历史低估关注</x:v>
      </x:c>
      <x:c r="D260" s="82" t="str">
        <x:v>CHEAP</x:v>
      </x:c>
      <x:c r="E260" s="82" t="str">
        <x:v>READY</x:v>
      </x:c>
      <x:c r="F260" s="82" t="str">
        <x:v>historical-valuation-v1.0.0</x:v>
      </x:c>
      <x:c r="G260" s="82" t="str">
        <x:v>TongDaXin historical PE/PB/dividend-yield cache</x:v>
      </x:c>
    </x:row>
    <x:row r="261" ht="15" hidden="0" customHeight="1">
      <x:c r="A261" s="83" t="str">
        <x:v>600787.SH</x:v>
      </x:c>
      <x:c r="B261" s="82" t="str">
        <x:v>中储股份</x:v>
      </x:c>
      <x:c r="C261" s="82" t="str">
        <x:v>历史低估关注</x:v>
      </x:c>
      <x:c r="D261" s="82" t="str">
        <x:v>CHEAP</x:v>
      </x:c>
      <x:c r="E261" s="82" t="str">
        <x:v>READY</x:v>
      </x:c>
      <x:c r="F261" s="82" t="str">
        <x:v>historical-valuation-v1.0.0</x:v>
      </x:c>
      <x:c r="G261" s="82" t="str">
        <x:v>TongDaXin historical PE/PB/dividend-yield cache</x:v>
      </x:c>
    </x:row>
    <x:row r="262" ht="15" hidden="0" customHeight="1">
      <x:c r="A262" s="83" t="str">
        <x:v>300917.SZ</x:v>
      </x:c>
      <x:c r="B262" s="82" t="str">
        <x:v>特发服务</x:v>
      </x:c>
      <x:c r="C262" s="82" t="str">
        <x:v>历史低估关注</x:v>
      </x:c>
      <x:c r="D262" s="82" t="str">
        <x:v>CHEAP</x:v>
      </x:c>
      <x:c r="E262" s="82" t="str">
        <x:v>READY</x:v>
      </x:c>
      <x:c r="F262" s="82" t="str">
        <x:v>historical-valuation-v1.0.0</x:v>
      </x:c>
      <x:c r="G262" s="82" t="str">
        <x:v>TongDaXin historical PE/PB/dividend-yield cache</x:v>
      </x:c>
    </x:row>
    <x:row r="263" ht="15" hidden="0" customHeight="1">
      <x:c r="A263" s="83" t="str">
        <x:v>001328.SZ</x:v>
      </x:c>
      <x:c r="B263" s="82" t="str">
        <x:v>登康口腔</x:v>
      </x:c>
      <x:c r="C263" s="82" t="str">
        <x:v>历史低估关注</x:v>
      </x:c>
      <x:c r="D263" s="82" t="str">
        <x:v>CHEAP</x:v>
      </x:c>
      <x:c r="E263" s="82" t="str">
        <x:v>READY</x:v>
      </x:c>
      <x:c r="F263" s="82" t="str">
        <x:v>historical-valuation-v1.0.0</x:v>
      </x:c>
      <x:c r="G263" s="82" t="str">
        <x:v>TongDaXin historical PE/PB/dividend-yield cache</x:v>
      </x:c>
    </x:row>
    <x:row r="264" ht="15" hidden="0" customHeight="1">
      <x:c r="A264" s="83" t="str">
        <x:v>600496.SH</x:v>
      </x:c>
      <x:c r="B264" s="82" t="str">
        <x:v>精工钢构</x:v>
      </x:c>
      <x:c r="C264" s="82" t="str">
        <x:v>历史低估关注</x:v>
      </x:c>
      <x:c r="D264" s="82" t="str">
        <x:v>CHEAP</x:v>
      </x:c>
      <x:c r="E264" s="82" t="str">
        <x:v>READY</x:v>
      </x:c>
      <x:c r="F264" s="82" t="str">
        <x:v>historical-valuation-v1.0.0</x:v>
      </x:c>
      <x:c r="G264" s="82" t="str">
        <x:v>TongDaXin historical PE/PB/dividend-yield cache</x:v>
      </x:c>
    </x:row>
    <x:row r="265" ht="15" hidden="0" customHeight="1">
      <x:c r="A265" s="83" t="str">
        <x:v>603214.SH</x:v>
      </x:c>
      <x:c r="B265" s="82" t="str">
        <x:v>爱婴室</x:v>
      </x:c>
      <x:c r="C265" s="82" t="str">
        <x:v>历史低估关注</x:v>
      </x:c>
      <x:c r="D265" s="82" t="str">
        <x:v>CHEAP</x:v>
      </x:c>
      <x:c r="E265" s="82" t="str">
        <x:v>READY</x:v>
      </x:c>
      <x:c r="F265" s="82" t="str">
        <x:v>historical-valuation-v1.0.0</x:v>
      </x:c>
      <x:c r="G265" s="82" t="str">
        <x:v>TongDaXin historical PE/PB/dividend-yield cache</x:v>
      </x:c>
    </x:row>
    <x:row r="266" ht="15" hidden="0" customHeight="1">
      <x:c r="A266" s="83" t="str">
        <x:v>603231.SH</x:v>
      </x:c>
      <x:c r="B266" s="82" t="str">
        <x:v>索宝蛋白</x:v>
      </x:c>
      <x:c r="C266" s="82" t="str">
        <x:v>历史低估关注</x:v>
      </x:c>
      <x:c r="D266" s="82" t="str">
        <x:v>CHEAP</x:v>
      </x:c>
      <x:c r="E266" s="82" t="str">
        <x:v>PARTIAL</x:v>
      </x:c>
      <x:c r="F266" s="82" t="str">
        <x:v>historical-valuation-v1.0.0</x:v>
      </x:c>
      <x:c r="G266" s="82" t="str">
        <x:v>TongDaXin historical PE/PB/dividend-yield cache</x:v>
      </x:c>
    </x:row>
    <x:row r="267" ht="15" hidden="0" customHeight="1">
      <x:c r="A267" s="83" t="str">
        <x:v>003027.SZ</x:v>
      </x:c>
      <x:c r="B267" s="82" t="str">
        <x:v>同兴科技</x:v>
      </x:c>
      <x:c r="C267" s="82" t="str">
        <x:v>历史低估关注</x:v>
      </x:c>
      <x:c r="D267" s="82" t="str">
        <x:v>CHEAP</x:v>
      </x:c>
      <x:c r="E267" s="82" t="str">
        <x:v>READY</x:v>
      </x:c>
      <x:c r="F267" s="82" t="str">
        <x:v>historical-valuation-v1.0.0</x:v>
      </x:c>
      <x:c r="G267" s="82" t="str">
        <x:v>TongDaXin historical PE/PB/dividend-yield cache</x:v>
      </x:c>
    </x:row>
    <x:row r="268" ht="15" hidden="0" customHeight="1">
      <x:c r="A268" s="83" t="str">
        <x:v>000713.SZ</x:v>
      </x:c>
      <x:c r="B268" s="82" t="str">
        <x:v>国投丰乐</x:v>
      </x:c>
      <x:c r="C268" s="82" t="str">
        <x:v>历史低估关注</x:v>
      </x:c>
      <x:c r="D268" s="82" t="str">
        <x:v>CHEAP</x:v>
      </x:c>
      <x:c r="E268" s="82" t="str">
        <x:v>READY</x:v>
      </x:c>
      <x:c r="F268" s="82" t="str">
        <x:v>historical-valuation-v1.0.0</x:v>
      </x:c>
      <x:c r="G268" s="82" t="str">
        <x:v>TongDaXin historical PE/PB/dividend-yield cache</x:v>
      </x:c>
    </x:row>
    <x:row r="269" ht="15" hidden="0" customHeight="1">
      <x:c r="A269" s="83" t="str">
        <x:v>000567.SZ</x:v>
      </x:c>
      <x:c r="B269" s="82" t="str">
        <x:v>海德股份</x:v>
      </x:c>
      <x:c r="C269" s="82" t="str">
        <x:v>历史低估关注</x:v>
      </x:c>
      <x:c r="D269" s="82" t="str">
        <x:v>CHEAP</x:v>
      </x:c>
      <x:c r="E269" s="82" t="str">
        <x:v>READY</x:v>
      </x:c>
      <x:c r="F269" s="82" t="str">
        <x:v>historical-valuation-v1.0.0</x:v>
      </x:c>
      <x:c r="G269" s="82" t="str">
        <x:v>TongDaXin historical PE/PB/dividend-yield cache</x:v>
      </x:c>
    </x:row>
    <x:row r="270" ht="15" hidden="0" customHeight="1">
      <x:c r="A270" s="83" t="str">
        <x:v>300138.SZ</x:v>
      </x:c>
      <x:c r="B270" s="82" t="str">
        <x:v>晨光生物</x:v>
      </x:c>
      <x:c r="C270" s="82" t="str">
        <x:v>历史低估关注</x:v>
      </x:c>
      <x:c r="D270" s="82" t="str">
        <x:v>CHEAP</x:v>
      </x:c>
      <x:c r="E270" s="82" t="str">
        <x:v>READY</x:v>
      </x:c>
      <x:c r="F270" s="82" t="str">
        <x:v>historical-valuation-v1.0.0</x:v>
      </x:c>
      <x:c r="G270" s="82" t="str">
        <x:v>TongDaXin historical PE/PB/dividend-yield cache</x:v>
      </x:c>
    </x:row>
    <x:row r="271" ht="15" hidden="0" customHeight="1">
      <x:c r="A271" s="83" t="str">
        <x:v>002807.SZ</x:v>
      </x:c>
      <x:c r="B271" s="82" t="str">
        <x:v>江阴银行</x:v>
      </x:c>
      <x:c r="C271" s="82" t="str">
        <x:v>历史低估关注</x:v>
      </x:c>
      <x:c r="D271" s="82" t="str">
        <x:v>CHEAP</x:v>
      </x:c>
      <x:c r="E271" s="82" t="str">
        <x:v>READY</x:v>
      </x:c>
      <x:c r="F271" s="82" t="str">
        <x:v>historical-valuation-v1.0.0</x:v>
      </x:c>
      <x:c r="G271" s="82" t="str">
        <x:v>TongDaXin historical PE/PB/dividend-yield cache</x:v>
      </x:c>
    </x:row>
    <x:row r="272" ht="15" hidden="0" customHeight="1">
      <x:c r="A272" s="83" t="str">
        <x:v>603551.SH</x:v>
      </x:c>
      <x:c r="B272" s="82" t="str">
        <x:v>奥普科技</x:v>
      </x:c>
      <x:c r="C272" s="82" t="str">
        <x:v>历史低估关注</x:v>
      </x:c>
      <x:c r="D272" s="82" t="str">
        <x:v>CHEAP</x:v>
      </x:c>
      <x:c r="E272" s="82" t="str">
        <x:v>READY</x:v>
      </x:c>
      <x:c r="F272" s="82" t="str">
        <x:v>historical-valuation-v1.0.0</x:v>
      </x:c>
      <x:c r="G272" s="82" t="str">
        <x:v>TongDaXin historical PE/PB/dividend-yield cache</x:v>
      </x:c>
    </x:row>
    <x:row r="273" ht="15" hidden="0" customHeight="1">
      <x:c r="A273" s="83" t="str">
        <x:v>002395.SZ</x:v>
      </x:c>
      <x:c r="B273" s="82" t="str">
        <x:v>双象股份</x:v>
      </x:c>
      <x:c r="C273" s="82" t="str">
        <x:v>历史低估关注</x:v>
      </x:c>
      <x:c r="D273" s="82" t="str">
        <x:v>CHEAP</x:v>
      </x:c>
      <x:c r="E273" s="82" t="str">
        <x:v>READY</x:v>
      </x:c>
      <x:c r="F273" s="82" t="str">
        <x:v>historical-valuation-v1.0.0</x:v>
      </x:c>
      <x:c r="G273" s="82" t="str">
        <x:v>TongDaXin historical PE/PB/dividend-yield cache</x:v>
      </x:c>
    </x:row>
    <x:row r="274" ht="15" hidden="0" customHeight="1">
      <x:c r="A274" s="83" t="str">
        <x:v>601038.SH</x:v>
      </x:c>
      <x:c r="B274" s="82" t="str">
        <x:v>一拖股份</x:v>
      </x:c>
      <x:c r="C274" s="82" t="str">
        <x:v>历史低估关注</x:v>
      </x:c>
      <x:c r="D274" s="82" t="str">
        <x:v>CHEAP</x:v>
      </x:c>
      <x:c r="E274" s="82" t="str">
        <x:v>READY</x:v>
      </x:c>
      <x:c r="F274" s="82" t="str">
        <x:v>historical-valuation-v1.0.0</x:v>
      </x:c>
      <x:c r="G274" s="82" t="str">
        <x:v>TongDaXin historical PE/PB/dividend-yield cache</x:v>
      </x:c>
    </x:row>
    <x:row r="275" ht="15" hidden="0" customHeight="1">
      <x:c r="A275" s="83" t="str">
        <x:v>601900.SH</x:v>
      </x:c>
      <x:c r="B275" s="82" t="str">
        <x:v>南方传媒</x:v>
      </x:c>
      <x:c r="C275" s="82" t="str">
        <x:v>历史低估关注</x:v>
      </x:c>
      <x:c r="D275" s="82" t="str">
        <x:v>CHEAP</x:v>
      </x:c>
      <x:c r="E275" s="82" t="str">
        <x:v>READY</x:v>
      </x:c>
      <x:c r="F275" s="82" t="str">
        <x:v>historical-valuation-v1.0.0</x:v>
      </x:c>
      <x:c r="G275" s="82" t="str">
        <x:v>TongDaXin historical PE/PB/dividend-yield cache</x:v>
      </x:c>
    </x:row>
    <x:row r="276" ht="15" hidden="0" customHeight="1">
      <x:c r="A276" s="83" t="str">
        <x:v>300492.SZ</x:v>
      </x:c>
      <x:c r="B276" s="82" t="str">
        <x:v>华图山鼎</x:v>
      </x:c>
      <x:c r="C276" s="82" t="str">
        <x:v>历史低估关注</x:v>
      </x:c>
      <x:c r="D276" s="82" t="str">
        <x:v>CHEAP</x:v>
      </x:c>
      <x:c r="E276" s="82" t="str">
        <x:v>READY</x:v>
      </x:c>
      <x:c r="F276" s="82" t="str">
        <x:v>historical-valuation-v1.0.0</x:v>
      </x:c>
      <x:c r="G276" s="82" t="str">
        <x:v>TongDaXin historical PE/PB/dividend-yield cache</x:v>
      </x:c>
    </x:row>
    <x:row r="277" ht="15" hidden="0" customHeight="1">
      <x:c r="A277" s="83" t="str">
        <x:v>301059.SZ</x:v>
      </x:c>
      <x:c r="B277" s="82" t="str">
        <x:v>金三江</x:v>
      </x:c>
      <x:c r="C277" s="82" t="str">
        <x:v>历史低估关注</x:v>
      </x:c>
      <x:c r="D277" s="82" t="str">
        <x:v>CHEAP</x:v>
      </x:c>
      <x:c r="E277" s="82" t="str">
        <x:v>READY</x:v>
      </x:c>
      <x:c r="F277" s="82" t="str">
        <x:v>historical-valuation-v1.0.0</x:v>
      </x:c>
      <x:c r="G277" s="82" t="str">
        <x:v>TongDaXin historical PE/PB/dividend-yield cache</x:v>
      </x:c>
    </x:row>
    <x:row r="278" ht="15" hidden="0" customHeight="1">
      <x:c r="A278" s="83" t="str">
        <x:v>600927.SH</x:v>
      </x:c>
      <x:c r="B278" s="82" t="str">
        <x:v>永安期货</x:v>
      </x:c>
      <x:c r="C278" s="82" t="str">
        <x:v>历史低估关注</x:v>
      </x:c>
      <x:c r="D278" s="82" t="str">
        <x:v>CHEAP</x:v>
      </x:c>
      <x:c r="E278" s="82" t="str">
        <x:v>READY</x:v>
      </x:c>
      <x:c r="F278" s="82" t="str">
        <x:v>historical-valuation-v1.0.0</x:v>
      </x:c>
      <x:c r="G278" s="82" t="str">
        <x:v>TongDaXin historical PE/PB/dividend-yield cache</x:v>
      </x:c>
    </x:row>
    <x:row r="279" ht="15" hidden="0" customHeight="1">
      <x:c r="A279" s="83" t="str">
        <x:v>601021.SH</x:v>
      </x:c>
      <x:c r="B279" s="82" t="str">
        <x:v>春秋航空</x:v>
      </x:c>
      <x:c r="C279" s="82" t="str">
        <x:v>历史低估关注</x:v>
      </x:c>
      <x:c r="D279" s="82" t="str">
        <x:v>CHEAP</x:v>
      </x:c>
      <x:c r="E279" s="82" t="str">
        <x:v>READY</x:v>
      </x:c>
      <x:c r="F279" s="82" t="str">
        <x:v>historical-valuation-v1.0.0</x:v>
      </x:c>
      <x:c r="G279" s="82" t="str">
        <x:v>TongDaXin historical PE/PB/dividend-yield cache</x:v>
      </x:c>
    </x:row>
    <x:row r="280" ht="15" hidden="0" customHeight="1">
      <x:c r="A280" s="83" t="str">
        <x:v>688475.SH</x:v>
      </x:c>
      <x:c r="B280" s="82" t="str">
        <x:v>萤石网络</x:v>
      </x:c>
      <x:c r="C280" s="82" t="str">
        <x:v>历史低估关注</x:v>
      </x:c>
      <x:c r="D280" s="82" t="str">
        <x:v>CHEAP</x:v>
      </x:c>
      <x:c r="E280" s="82" t="str">
        <x:v>READY</x:v>
      </x:c>
      <x:c r="F280" s="82" t="str">
        <x:v>historical-valuation-v1.0.0</x:v>
      </x:c>
      <x:c r="G280" s="82" t="str">
        <x:v>TongDaXin historical PE/PB/dividend-yield cache</x:v>
      </x:c>
    </x:row>
    <x:row r="281" ht="15" hidden="0" customHeight="1">
      <x:c r="A281" s="83" t="str">
        <x:v>002752.SZ</x:v>
      </x:c>
      <x:c r="B281" s="82" t="str">
        <x:v>昇兴股份</x:v>
      </x:c>
      <x:c r="C281" s="82" t="str">
        <x:v>历史低估关注</x:v>
      </x:c>
      <x:c r="D281" s="82" t="str">
        <x:v>CHEAP</x:v>
      </x:c>
      <x:c r="E281" s="82" t="str">
        <x:v>READY</x:v>
      </x:c>
      <x:c r="F281" s="82" t="str">
        <x:v>historical-valuation-v1.0.0</x:v>
      </x:c>
      <x:c r="G281" s="82" t="str">
        <x:v>TongDaXin historical PE/PB/dividend-yield cache</x:v>
      </x:c>
    </x:row>
    <x:row r="282" ht="15" hidden="0" customHeight="1">
      <x:c r="A282" s="83" t="str">
        <x:v>000957.SZ</x:v>
      </x:c>
      <x:c r="B282" s="82" t="str">
        <x:v>中通客车</x:v>
      </x:c>
      <x:c r="C282" s="82" t="str">
        <x:v>历史低估关注</x:v>
      </x:c>
      <x:c r="D282" s="82" t="str">
        <x:v>CHEAP</x:v>
      </x:c>
      <x:c r="E282" s="82" t="str">
        <x:v>READY</x:v>
      </x:c>
      <x:c r="F282" s="82" t="str">
        <x:v>historical-valuation-v1.0.0</x:v>
      </x:c>
      <x:c r="G282" s="82" t="str">
        <x:v>TongDaXin historical PE/PB/dividend-yield cache</x:v>
      </x:c>
    </x:row>
    <x:row r="283" ht="15" hidden="0" customHeight="1">
      <x:c r="A283" s="83" t="str">
        <x:v>601333.SH</x:v>
      </x:c>
      <x:c r="B283" s="82" t="str">
        <x:v>广深铁路</x:v>
      </x:c>
      <x:c r="C283" s="82" t="str">
        <x:v>历史低估关注</x:v>
      </x:c>
      <x:c r="D283" s="82" t="str">
        <x:v>CHEAP</x:v>
      </x:c>
      <x:c r="E283" s="82" t="str">
        <x:v>READY</x:v>
      </x:c>
      <x:c r="F283" s="82" t="str">
        <x:v>historical-valuation-v1.0.0</x:v>
      </x:c>
      <x:c r="G283" s="82" t="str">
        <x:v>TongDaXin historical PE/PB/dividend-yield cache</x:v>
      </x:c>
    </x:row>
    <x:row r="284" ht="15" hidden="0" customHeight="1">
      <x:c r="A284" s="83" t="str">
        <x:v>002286.SZ</x:v>
      </x:c>
      <x:c r="B284" s="82" t="str">
        <x:v>保龄宝</x:v>
      </x:c>
      <x:c r="C284" s="82" t="str">
        <x:v>历史低估关注</x:v>
      </x:c>
      <x:c r="D284" s="82" t="str">
        <x:v>CHEAP</x:v>
      </x:c>
      <x:c r="E284" s="82" t="str">
        <x:v>READY</x:v>
      </x:c>
      <x:c r="F284" s="82" t="str">
        <x:v>historical-valuation-v1.0.0</x:v>
      </x:c>
      <x:c r="G284" s="82" t="str">
        <x:v>TongDaXin historical PE/PB/dividend-yield cache</x:v>
      </x:c>
    </x:row>
    <x:row r="285" ht="15" hidden="0" customHeight="1">
      <x:c r="A285" s="83" t="str">
        <x:v>603569.SH</x:v>
      </x:c>
      <x:c r="B285" s="82" t="str">
        <x:v>长久物流</x:v>
      </x:c>
      <x:c r="C285" s="82" t="str">
        <x:v>历史低估关注</x:v>
      </x:c>
      <x:c r="D285" s="82" t="str">
        <x:v>CHEAP</x:v>
      </x:c>
      <x:c r="E285" s="82" t="str">
        <x:v>READY</x:v>
      </x:c>
      <x:c r="F285" s="82" t="str">
        <x:v>historical-valuation-v1.0.0</x:v>
      </x:c>
      <x:c r="G285" s="82" t="str">
        <x:v>TongDaXin historical PE/PB/dividend-yield cache</x:v>
      </x:c>
    </x:row>
    <x:row r="286" ht="15" hidden="0" customHeight="1">
      <x:c r="A286" s="83" t="str">
        <x:v>600662.SH</x:v>
      </x:c>
      <x:c r="B286" s="82" t="str">
        <x:v>外服控股</x:v>
      </x:c>
      <x:c r="C286" s="82" t="str">
        <x:v>历史低估关注</x:v>
      </x:c>
      <x:c r="D286" s="82" t="str">
        <x:v>CHEAP</x:v>
      </x:c>
      <x:c r="E286" s="82" t="str">
        <x:v>READY</x:v>
      </x:c>
      <x:c r="F286" s="82" t="str">
        <x:v>historical-valuation-v1.0.0</x:v>
      </x:c>
      <x:c r="G286" s="82" t="str">
        <x:v>TongDaXin historical PE/PB/dividend-yield cache</x:v>
      </x:c>
    </x:row>
    <x:row r="287" ht="15" hidden="0" customHeight="1">
      <x:c r="A287" s="83" t="str">
        <x:v>601318.SH</x:v>
      </x:c>
      <x:c r="B287" s="82" t="str">
        <x:v>中国平安</x:v>
      </x:c>
      <x:c r="C287" s="82" t="str">
        <x:v>历史低估关注</x:v>
      </x:c>
      <x:c r="D287" s="82" t="str">
        <x:v>CHEAP</x:v>
      </x:c>
      <x:c r="E287" s="82" t="str">
        <x:v>READY</x:v>
      </x:c>
      <x:c r="F287" s="82" t="str">
        <x:v>historical-valuation-v1.0.0</x:v>
      </x:c>
      <x:c r="G287" s="82" t="str">
        <x:v>TongDaXin historical PE/PB/dividend-yield cache</x:v>
      </x:c>
    </x:row>
    <x:row r="288" ht="15" hidden="0" customHeight="1">
      <x:c r="A288" s="83" t="str">
        <x:v>601601.SH</x:v>
      </x:c>
      <x:c r="B288" s="82" t="str">
        <x:v>中国太保</x:v>
      </x:c>
      <x:c r="C288" s="82" t="str">
        <x:v>历史低估关注</x:v>
      </x:c>
      <x:c r="D288" s="82" t="str">
        <x:v>CHEAP</x:v>
      </x:c>
      <x:c r="E288" s="82" t="str">
        <x:v>READY</x:v>
      </x:c>
      <x:c r="F288" s="82" t="str">
        <x:v>historical-valuation-v1.0.0</x:v>
      </x:c>
      <x:c r="G288" s="82" t="str">
        <x:v>TongDaXin historical PE/PB/dividend-yield cache</x:v>
      </x:c>
    </x:row>
    <x:row r="289" ht="15" hidden="0" customHeight="1">
      <x:c r="A289" s="83" t="str">
        <x:v>301032.SZ</x:v>
      </x:c>
      <x:c r="B289" s="82" t="str">
        <x:v>新柴股份</x:v>
      </x:c>
      <x:c r="C289" s="82" t="str">
        <x:v>历史低估关注</x:v>
      </x:c>
      <x:c r="D289" s="82" t="str">
        <x:v>CHEAP</x:v>
      </x:c>
      <x:c r="E289" s="82" t="str">
        <x:v>READY</x:v>
      </x:c>
      <x:c r="F289" s="82" t="str">
        <x:v>historical-valuation-v1.0.0</x:v>
      </x:c>
      <x:c r="G289" s="82" t="str">
        <x:v>TongDaXin historical PE/PB/dividend-yield cache</x:v>
      </x:c>
    </x:row>
    <x:row r="290" ht="15" hidden="0" customHeight="1">
      <x:c r="A290" s="83" t="str">
        <x:v>300777.SZ</x:v>
      </x:c>
      <x:c r="B290" s="82" t="str">
        <x:v>中简科技</x:v>
      </x:c>
      <x:c r="C290" s="82" t="str">
        <x:v>历史低估关注</x:v>
      </x:c>
      <x:c r="D290" s="82" t="str">
        <x:v>CHEAP</x:v>
      </x:c>
      <x:c r="E290" s="82" t="str">
        <x:v>READY</x:v>
      </x:c>
      <x:c r="F290" s="82" t="str">
        <x:v>historical-valuation-v1.0.0</x:v>
      </x:c>
      <x:c r="G290" s="82" t="str">
        <x:v>TongDaXin historical PE/PB/dividend-yield cache</x:v>
      </x:c>
    </x:row>
    <x:row r="291" ht="15" hidden="0" customHeight="1">
      <x:c r="A291" s="83" t="str">
        <x:v>000655.SZ</x:v>
      </x:c>
      <x:c r="B291" s="82" t="str">
        <x:v>金岭矿业</x:v>
      </x:c>
      <x:c r="C291" s="82" t="str">
        <x:v>历史低估关注</x:v>
      </x:c>
      <x:c r="D291" s="82" t="str">
        <x:v>CHEAP</x:v>
      </x:c>
      <x:c r="E291" s="82" t="str">
        <x:v>READY</x:v>
      </x:c>
      <x:c r="F291" s="82" t="str">
        <x:v>historical-valuation-v1.0.0</x:v>
      </x:c>
      <x:c r="G291" s="82" t="str">
        <x:v>TongDaXin historical PE/PB/dividend-yield cache</x:v>
      </x:c>
    </x:row>
    <x:row r="292" ht="15" hidden="0" customHeight="1">
      <x:c r="A292" s="83" t="str">
        <x:v>002891.SZ</x:v>
      </x:c>
      <x:c r="B292" s="82" t="str">
        <x:v>中宠股份</x:v>
      </x:c>
      <x:c r="C292" s="82" t="str">
        <x:v>历史低估关注</x:v>
      </x:c>
      <x:c r="D292" s="82" t="str">
        <x:v>CHEAP</x:v>
      </x:c>
      <x:c r="E292" s="82" t="str">
        <x:v>READY</x:v>
      </x:c>
      <x:c r="F292" s="82" t="str">
        <x:v>historical-valuation-v1.0.0</x:v>
      </x:c>
      <x:c r="G292" s="82" t="str">
        <x:v>TongDaXin historical PE/PB/dividend-yield cache</x:v>
      </x:c>
    </x:row>
    <x:row r="293" ht="15" hidden="0" customHeight="1">
      <x:c r="A293" s="83" t="str">
        <x:v>002098.SZ</x:v>
      </x:c>
      <x:c r="B293" s="82" t="str">
        <x:v>浔兴股份</x:v>
      </x:c>
      <x:c r="C293" s="82" t="str">
        <x:v>历史低估关注</x:v>
      </x:c>
      <x:c r="D293" s="82" t="str">
        <x:v>CHEAP</x:v>
      </x:c>
      <x:c r="E293" s="82" t="str">
        <x:v>READY</x:v>
      </x:c>
      <x:c r="F293" s="82" t="str">
        <x:v>historical-valuation-v1.0.0</x:v>
      </x:c>
      <x:c r="G293" s="82" t="str">
        <x:v>TongDaXin historical PE/PB/dividend-yield cache</x:v>
      </x:c>
    </x:row>
    <x:row r="294" ht="15" hidden="0" customHeight="1">
      <x:c r="A294" s="83" t="str">
        <x:v>000532.SZ</x:v>
      </x:c>
      <x:c r="B294" s="82" t="str">
        <x:v>华金资本</x:v>
      </x:c>
      <x:c r="C294" s="82" t="str">
        <x:v>历史低估关注</x:v>
      </x:c>
      <x:c r="D294" s="82" t="str">
        <x:v>CHEAP</x:v>
      </x:c>
      <x:c r="E294" s="82" t="str">
        <x:v>READY</x:v>
      </x:c>
      <x:c r="F294" s="82" t="str">
        <x:v>historical-valuation-v1.0.0</x:v>
      </x:c>
      <x:c r="G294" s="82" t="str">
        <x:v>TongDaXin historical PE/PB/dividend-yield cache</x:v>
      </x:c>
    </x:row>
    <x:row r="295" ht="15" hidden="0" customHeight="1">
      <x:c r="A295" s="83" t="str">
        <x:v>002568.SZ</x:v>
      </x:c>
      <x:c r="B295" s="82" t="str">
        <x:v>百润股份</x:v>
      </x:c>
      <x:c r="C295" s="82" t="str">
        <x:v>历史低估关注</x:v>
      </x:c>
      <x:c r="D295" s="82" t="str">
        <x:v>CHEAP</x:v>
      </x:c>
      <x:c r="E295" s="82" t="str">
        <x:v>READY</x:v>
      </x:c>
      <x:c r="F295" s="82" t="str">
        <x:v>historical-valuation-v1.0.0</x:v>
      </x:c>
      <x:c r="G295" s="82" t="str">
        <x:v>TongDaXin historical PE/PB/dividend-yield cache</x:v>
      </x:c>
    </x:row>
    <x:row r="296" ht="15" hidden="0" customHeight="1">
      <x:c r="A296" s="83" t="str">
        <x:v>301299.SZ</x:v>
      </x:c>
      <x:c r="B296" s="82" t="str">
        <x:v>卓创资讯</x:v>
      </x:c>
      <x:c r="C296" s="82" t="str">
        <x:v>历史低估关注</x:v>
      </x:c>
      <x:c r="D296" s="82" t="str">
        <x:v>CHEAP</x:v>
      </x:c>
      <x:c r="E296" s="82" t="str">
        <x:v>READY</x:v>
      </x:c>
      <x:c r="F296" s="82" t="str">
        <x:v>historical-valuation-v1.0.0</x:v>
      </x:c>
      <x:c r="G296" s="82" t="str">
        <x:v>TongDaXin historical PE/PB/dividend-yield cache</x:v>
      </x:c>
    </x:row>
    <x:row r="297" ht="15" hidden="0" customHeight="1">
      <x:c r="A297" s="83" t="str">
        <x:v>002780.SZ</x:v>
      </x:c>
      <x:c r="B297" s="82" t="str">
        <x:v>三夫户外</x:v>
      </x:c>
      <x:c r="C297" s="82" t="str">
        <x:v>历史低估关注</x:v>
      </x:c>
      <x:c r="D297" s="82" t="str">
        <x:v>CHEAP</x:v>
      </x:c>
      <x:c r="E297" s="82" t="str">
        <x:v>READY</x:v>
      </x:c>
      <x:c r="F297" s="82" t="str">
        <x:v>historical-valuation-v1.0.0</x:v>
      </x:c>
      <x:c r="G297" s="82" t="str">
        <x:v>TongDaXin historical PE/PB/dividend-yield cache</x:v>
      </x:c>
    </x:row>
    <x:row r="298" ht="15" hidden="0" customHeight="1">
      <x:c r="A298" s="83" t="str">
        <x:v>000065.SZ</x:v>
      </x:c>
      <x:c r="B298" s="82" t="str">
        <x:v>北方国际</x:v>
      </x:c>
      <x:c r="C298" s="82" t="str">
        <x:v>历史低估关注</x:v>
      </x:c>
      <x:c r="D298" s="82" t="str">
        <x:v>CHEAP</x:v>
      </x:c>
      <x:c r="E298" s="82" t="str">
        <x:v>READY</x:v>
      </x:c>
      <x:c r="F298" s="82" t="str">
        <x:v>historical-valuation-v1.0.0</x:v>
      </x:c>
      <x:c r="G298" s="82" t="str">
        <x:v>TongDaXin historical PE/PB/dividend-yield cache</x:v>
      </x:c>
    </x:row>
    <x:row r="299" ht="15" hidden="0" customHeight="1">
      <x:c r="A299" s="83" t="str">
        <x:v>000504.SZ</x:v>
      </x:c>
      <x:c r="B299" s="82" t="str">
        <x:v>南华生物</x:v>
      </x:c>
      <x:c r="C299" s="82" t="str">
        <x:v>历史低估关注</x:v>
      </x:c>
      <x:c r="D299" s="82" t="str">
        <x:v>CHEAP</x:v>
      </x:c>
      <x:c r="E299" s="82" t="str">
        <x:v>READY</x:v>
      </x:c>
      <x:c r="F299" s="82" t="str">
        <x:v>historical-valuation-v1.0.0</x:v>
      </x:c>
      <x:c r="G299" s="82" t="str">
        <x:v>TongDaXin historical PE/PB/dividend-yield cache</x:v>
      </x:c>
    </x:row>
    <x:row r="300" ht="15" hidden="0" customHeight="1">
      <x:c r="A300" s="83" t="str">
        <x:v>600318.SH</x:v>
      </x:c>
      <x:c r="B300" s="82" t="str">
        <x:v>新力金融</x:v>
      </x:c>
      <x:c r="C300" s="82" t="str">
        <x:v>历史低估关注</x:v>
      </x:c>
      <x:c r="D300" s="82" t="str">
        <x:v>CHEAP</x:v>
      </x:c>
      <x:c r="E300" s="82" t="str">
        <x:v>READY</x:v>
      </x:c>
      <x:c r="F300" s="82" t="str">
        <x:v>historical-valuation-v1.0.0</x:v>
      </x:c>
      <x:c r="G300" s="82" t="str">
        <x:v>TongDaXin historical PE/PB/dividend-yield cache</x:v>
      </x:c>
    </x:row>
    <x:row r="301" ht="15" hidden="0" customHeight="1">
      <x:c r="A301" s="83" t="str">
        <x:v>600640.SH</x:v>
      </x:c>
      <x:c r="B301" s="82" t="str">
        <x:v>国脉文化</x:v>
      </x:c>
      <x:c r="C301" s="82" t="str">
        <x:v>历史低估关注</x:v>
      </x:c>
      <x:c r="D301" s="82" t="str">
        <x:v>CHEAP</x:v>
      </x:c>
      <x:c r="E301" s="82" t="str">
        <x:v>READY</x:v>
      </x:c>
      <x:c r="F301" s="82" t="str">
        <x:v>historical-valuation-v1.0.0</x:v>
      </x:c>
      <x:c r="G301" s="82" t="str">
        <x:v>TongDaXin historical PE/PB/dividend-yield cache</x:v>
      </x:c>
    </x:row>
  </x:sheetData>
  <x:mergeCells>
    <x:mergeCell ref="A1:G1"/>
    <x:mergeCell ref="A2:G2"/>
  </x:mergeCells>
  <x:pageMargins left="0.7" right="0.7" top="0.75" bottom="0.75" header="0.3" footer="0.3"/>
</x:worksheet>
</file>